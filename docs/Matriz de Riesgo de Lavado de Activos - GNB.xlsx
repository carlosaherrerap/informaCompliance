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github_Projects\antiDark\docs\"/>
    </mc:Choice>
  </mc:AlternateContent>
  <xr:revisionPtr revIDLastSave="0" documentId="13_ncr:1_{18AB92C2-B99E-4409-B47F-9D6BB9E00ABA}" xr6:coauthVersionLast="47" xr6:coauthVersionMax="47" xr10:uidLastSave="{00000000-0000-0000-0000-000000000000}"/>
  <bookViews>
    <workbookView xWindow="-108" yWindow="-108" windowWidth="23256" windowHeight="12456" tabRatio="829" xr2:uid="{00000000-000D-0000-FFFF-FFFF00000000}"/>
  </bookViews>
  <sheets>
    <sheet name="CLIENTE" sheetId="7" r:id="rId1"/>
    <sheet name="Data cliente" sheetId="8" r:id="rId2"/>
    <sheet name="PASIVO" sheetId="2" r:id="rId3"/>
    <sheet name="Data pasivo" sheetId="10" r:id="rId4"/>
    <sheet name="SERVICIOS" sheetId="4" r:id="rId5"/>
    <sheet name="Data servicios" sheetId="11" r:id="rId6"/>
    <sheet name="ZG" sheetId="3" r:id="rId7"/>
    <sheet name="Data ZG" sheetId="13" r:id="rId8"/>
    <sheet name="EMPRESA " sheetId="6" r:id="rId9"/>
    <sheet name="RANGOS" sheetId="5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7" i="8" l="1"/>
  <c r="G47" i="8" s="1"/>
  <c r="F47" i="8" s="1"/>
  <c r="E46" i="8"/>
  <c r="G46" i="8" s="1"/>
  <c r="F46" i="8" s="1"/>
  <c r="E45" i="8"/>
  <c r="G45" i="8" s="1"/>
  <c r="F45" i="8" s="1"/>
  <c r="E44" i="8"/>
  <c r="G44" i="8" s="1"/>
  <c r="F44" i="8" s="1"/>
  <c r="E43" i="8"/>
  <c r="G43" i="8" s="1"/>
  <c r="F43" i="8" s="1"/>
  <c r="E42" i="8"/>
  <c r="G42" i="8" s="1"/>
  <c r="F42" i="8" s="1"/>
  <c r="E41" i="8"/>
  <c r="G41" i="8" s="1"/>
  <c r="F41" i="8" s="1"/>
  <c r="E40" i="8"/>
  <c r="G40" i="8" s="1"/>
  <c r="F40" i="8" s="1"/>
  <c r="E38" i="8"/>
  <c r="G38" i="8" s="1"/>
  <c r="F38" i="8" s="1"/>
  <c r="N4" i="7" l="1"/>
  <c r="E48" i="11"/>
  <c r="E36" i="11" l="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47" i="11"/>
  <c r="E46" i="11"/>
  <c r="E45" i="11"/>
  <c r="E44" i="11"/>
  <c r="E43" i="11"/>
  <c r="E42" i="11"/>
  <c r="E41" i="11"/>
  <c r="E40" i="11"/>
  <c r="E39" i="11"/>
  <c r="E38" i="11"/>
  <c r="E37" i="11"/>
  <c r="E4" i="6" l="1"/>
  <c r="H8" i="6"/>
  <c r="H7" i="6"/>
  <c r="H6" i="6"/>
  <c r="H5" i="6"/>
  <c r="H4" i="6"/>
  <c r="H9" i="6" s="1"/>
  <c r="E8" i="6"/>
  <c r="E7" i="6"/>
  <c r="E6" i="6"/>
  <c r="E5" i="6"/>
  <c r="K48" i="2"/>
  <c r="Q48" i="2" s="1"/>
  <c r="K49" i="2"/>
  <c r="Q49" i="2" s="1"/>
  <c r="H49" i="2"/>
  <c r="H48" i="2"/>
  <c r="F49" i="2"/>
  <c r="F48" i="2"/>
  <c r="F47" i="2"/>
  <c r="V33" i="7"/>
  <c r="E9" i="6" l="1"/>
  <c r="F27" i="7"/>
  <c r="K46" i="7"/>
  <c r="K45" i="7"/>
  <c r="K44" i="7"/>
  <c r="Q44" i="7" s="1"/>
  <c r="K43" i="7"/>
  <c r="K42" i="7"/>
  <c r="Q42" i="7" s="1"/>
  <c r="K41" i="7"/>
  <c r="K40" i="7"/>
  <c r="Q40" i="7" s="1"/>
  <c r="K39" i="7"/>
  <c r="K38" i="7"/>
  <c r="Q38" i="7" s="1"/>
  <c r="H46" i="7"/>
  <c r="H45" i="7"/>
  <c r="H44" i="7"/>
  <c r="H43" i="7"/>
  <c r="H42" i="7"/>
  <c r="H41" i="7"/>
  <c r="H40" i="7"/>
  <c r="H38" i="7"/>
  <c r="F46" i="7"/>
  <c r="F45" i="7"/>
  <c r="F44" i="7"/>
  <c r="F43" i="7"/>
  <c r="F42" i="7"/>
  <c r="F41" i="7"/>
  <c r="F40" i="7"/>
  <c r="F38" i="7"/>
  <c r="M29" i="3"/>
  <c r="M4" i="3"/>
  <c r="K43" i="2"/>
  <c r="L43" i="2" s="1"/>
  <c r="K42" i="2"/>
  <c r="Q42" i="2" s="1"/>
  <c r="H41" i="2"/>
  <c r="H42" i="2"/>
  <c r="H44" i="2"/>
  <c r="H43" i="2"/>
  <c r="H45" i="2"/>
  <c r="K45" i="2"/>
  <c r="K44" i="2"/>
  <c r="Q44" i="2" s="1"/>
  <c r="I40" i="2"/>
  <c r="I39" i="2"/>
  <c r="F45" i="2"/>
  <c r="F44" i="2"/>
  <c r="F42" i="2"/>
  <c r="N51" i="4"/>
  <c r="N49" i="4"/>
  <c r="K51" i="4"/>
  <c r="K50" i="4"/>
  <c r="K48" i="4"/>
  <c r="Q48" i="4" s="1"/>
  <c r="H52" i="4"/>
  <c r="H51" i="4"/>
  <c r="H50" i="4"/>
  <c r="H48" i="4"/>
  <c r="F51" i="4"/>
  <c r="F50" i="4"/>
  <c r="F48" i="4"/>
  <c r="N47" i="4"/>
  <c r="N18" i="4"/>
  <c r="N20" i="4"/>
  <c r="N10" i="4"/>
  <c r="N40" i="4"/>
  <c r="N38" i="4"/>
  <c r="N30" i="4"/>
  <c r="N15" i="4"/>
  <c r="N12" i="4"/>
  <c r="N7" i="4"/>
  <c r="N4" i="4"/>
  <c r="N44" i="4"/>
  <c r="N35" i="4"/>
  <c r="N32" i="4"/>
  <c r="N27" i="4"/>
  <c r="N24" i="4"/>
  <c r="Q43" i="2" l="1"/>
  <c r="R43" i="2" s="1"/>
  <c r="Q45" i="2"/>
  <c r="Q39" i="7"/>
  <c r="R39" i="7" s="1"/>
  <c r="L39" i="7"/>
  <c r="Q41" i="7"/>
  <c r="R41" i="7" s="1"/>
  <c r="L41" i="7"/>
  <c r="Q43" i="7"/>
  <c r="R43" i="7" s="1"/>
  <c r="L43" i="7"/>
  <c r="Q45" i="7"/>
  <c r="L45" i="7"/>
  <c r="Q50" i="4"/>
  <c r="Q51" i="4"/>
  <c r="F23" i="4" l="1"/>
  <c r="F22" i="4"/>
  <c r="F21" i="4"/>
  <c r="F20" i="4"/>
  <c r="F37" i="4"/>
  <c r="F36" i="4"/>
  <c r="F35" i="4"/>
  <c r="F34" i="4"/>
  <c r="F33" i="4"/>
  <c r="F32" i="4"/>
  <c r="F30" i="4"/>
  <c r="F29" i="4"/>
  <c r="H50" i="2"/>
  <c r="H47" i="2"/>
  <c r="H46" i="2"/>
  <c r="F50" i="2"/>
  <c r="F46" i="2"/>
  <c r="F43" i="2"/>
  <c r="F41" i="2"/>
  <c r="E30" i="8"/>
  <c r="E29" i="8"/>
  <c r="E28" i="8"/>
  <c r="N37" i="7"/>
  <c r="N32" i="7"/>
  <c r="Q46" i="7"/>
  <c r="R45" i="7" s="1"/>
  <c r="K37" i="7"/>
  <c r="L37" i="7" s="1"/>
  <c r="H39" i="7"/>
  <c r="H37" i="7"/>
  <c r="F39" i="7"/>
  <c r="F37" i="7"/>
  <c r="N29" i="7"/>
  <c r="F17" i="4"/>
  <c r="F16" i="4"/>
  <c r="F15" i="4"/>
  <c r="F17" i="11"/>
  <c r="G25" i="11"/>
  <c r="I23" i="4" s="1"/>
  <c r="K23" i="4" s="1"/>
  <c r="F24" i="11"/>
  <c r="G23" i="11"/>
  <c r="I21" i="4" s="1"/>
  <c r="K21" i="4" s="1"/>
  <c r="F22" i="11"/>
  <c r="F21" i="11"/>
  <c r="F20" i="11"/>
  <c r="F19" i="11"/>
  <c r="F18" i="11"/>
  <c r="G34" i="11"/>
  <c r="I32" i="4" s="1"/>
  <c r="G36" i="11"/>
  <c r="I34" i="4" s="1"/>
  <c r="F35" i="11"/>
  <c r="G32" i="11"/>
  <c r="I38" i="2"/>
  <c r="F52" i="4"/>
  <c r="F49" i="4"/>
  <c r="F47" i="4"/>
  <c r="F46" i="4"/>
  <c r="F45" i="4"/>
  <c r="F44" i="4"/>
  <c r="F28" i="2"/>
  <c r="F27" i="2"/>
  <c r="F26" i="2"/>
  <c r="E30" i="10"/>
  <c r="F30" i="10" s="1"/>
  <c r="E29" i="10"/>
  <c r="F29" i="10" s="1"/>
  <c r="E28" i="10"/>
  <c r="F28" i="10" s="1"/>
  <c r="N23" i="7"/>
  <c r="N26" i="7"/>
  <c r="N19" i="7"/>
  <c r="N15" i="7"/>
  <c r="N11" i="7"/>
  <c r="N8" i="7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31" i="3"/>
  <c r="E30" i="3"/>
  <c r="E29" i="3"/>
  <c r="E28" i="3"/>
  <c r="E27" i="3"/>
  <c r="E26" i="3"/>
  <c r="E25" i="3"/>
  <c r="E24" i="3"/>
  <c r="E23" i="3"/>
  <c r="E22" i="3"/>
  <c r="E21" i="3"/>
  <c r="E15" i="3"/>
  <c r="E14" i="3"/>
  <c r="E12" i="3"/>
  <c r="E10" i="3"/>
  <c r="E7" i="3"/>
  <c r="E19" i="3"/>
  <c r="E18" i="3"/>
  <c r="E17" i="3"/>
  <c r="E16" i="3"/>
  <c r="E13" i="3"/>
  <c r="E11" i="3"/>
  <c r="E9" i="3"/>
  <c r="E8" i="3"/>
  <c r="E6" i="3"/>
  <c r="E5" i="3"/>
  <c r="E4" i="3"/>
  <c r="Q37" i="7" l="1"/>
  <c r="R37" i="7" s="1"/>
  <c r="F23" i="11"/>
  <c r="G35" i="11"/>
  <c r="I33" i="4" s="1"/>
  <c r="F34" i="11"/>
  <c r="F36" i="11"/>
  <c r="G18" i="11"/>
  <c r="I16" i="4" s="1"/>
  <c r="H16" i="4" s="1"/>
  <c r="F25" i="11"/>
  <c r="G17" i="11"/>
  <c r="I15" i="4" s="1"/>
  <c r="K15" i="4" s="1"/>
  <c r="G19" i="11"/>
  <c r="I17" i="4" s="1"/>
  <c r="H17" i="4" s="1"/>
  <c r="H15" i="4"/>
  <c r="Q21" i="4"/>
  <c r="Q23" i="4"/>
  <c r="H21" i="4"/>
  <c r="H23" i="4"/>
  <c r="G22" i="11"/>
  <c r="I20" i="4" s="1"/>
  <c r="K20" i="4" s="1"/>
  <c r="G24" i="11"/>
  <c r="I22" i="4" s="1"/>
  <c r="K22" i="4" s="1"/>
  <c r="Q22" i="4" s="1"/>
  <c r="K41" i="2"/>
  <c r="K46" i="2"/>
  <c r="K50" i="2"/>
  <c r="K47" i="2"/>
  <c r="G28" i="10"/>
  <c r="I26" i="2" s="1"/>
  <c r="H26" i="2" s="1"/>
  <c r="G30" i="10"/>
  <c r="G29" i="10"/>
  <c r="I27" i="2" s="1"/>
  <c r="G20" i="11"/>
  <c r="I18" i="4" s="1"/>
  <c r="G21" i="11"/>
  <c r="I19" i="4" s="1"/>
  <c r="K49" i="4"/>
  <c r="L49" i="4" s="1"/>
  <c r="H47" i="4"/>
  <c r="I28" i="2"/>
  <c r="H28" i="2" s="1"/>
  <c r="G6" i="13"/>
  <c r="F6" i="13" s="1"/>
  <c r="G7" i="13"/>
  <c r="F7" i="13" s="1"/>
  <c r="G8" i="13"/>
  <c r="F8" i="13" s="1"/>
  <c r="G9" i="13"/>
  <c r="F9" i="13" s="1"/>
  <c r="G10" i="13"/>
  <c r="F10" i="13" s="1"/>
  <c r="G11" i="13"/>
  <c r="F11" i="13" s="1"/>
  <c r="G12" i="13"/>
  <c r="F12" i="13" s="1"/>
  <c r="G13" i="13"/>
  <c r="F13" i="13" s="1"/>
  <c r="G14" i="13"/>
  <c r="F14" i="13" s="1"/>
  <c r="G15" i="13"/>
  <c r="F15" i="13" s="1"/>
  <c r="G16" i="13"/>
  <c r="F16" i="13" s="1"/>
  <c r="G17" i="13"/>
  <c r="F17" i="13" s="1"/>
  <c r="G18" i="13"/>
  <c r="F18" i="13" s="1"/>
  <c r="G19" i="13"/>
  <c r="F19" i="13" s="1"/>
  <c r="G20" i="13"/>
  <c r="F20" i="13" s="1"/>
  <c r="G21" i="13"/>
  <c r="F21" i="13" s="1"/>
  <c r="G22" i="13"/>
  <c r="F22" i="13" s="1"/>
  <c r="G23" i="13"/>
  <c r="F23" i="13" s="1"/>
  <c r="G24" i="13"/>
  <c r="F24" i="13" s="1"/>
  <c r="G25" i="13"/>
  <c r="F25" i="13" s="1"/>
  <c r="G26" i="13"/>
  <c r="F26" i="13" s="1"/>
  <c r="G27" i="13"/>
  <c r="F27" i="13" s="1"/>
  <c r="G28" i="13"/>
  <c r="F28" i="13" s="1"/>
  <c r="G29" i="13"/>
  <c r="F29" i="13" s="1"/>
  <c r="G30" i="13"/>
  <c r="F30" i="13" s="1"/>
  <c r="G31" i="13"/>
  <c r="F31" i="13" s="1"/>
  <c r="G32" i="13"/>
  <c r="F32" i="13" s="1"/>
  <c r="G33" i="13"/>
  <c r="F33" i="13" s="1"/>
  <c r="Q50" i="2" l="1"/>
  <c r="R49" i="2" s="1"/>
  <c r="L49" i="2"/>
  <c r="L41" i="2"/>
  <c r="Q41" i="2"/>
  <c r="R41" i="2" s="1"/>
  <c r="L47" i="2"/>
  <c r="Q47" i="2"/>
  <c r="R47" i="2" s="1"/>
  <c r="Q46" i="2"/>
  <c r="R45" i="2" s="1"/>
  <c r="L45" i="2"/>
  <c r="H31" i="3"/>
  <c r="J31" i="3" s="1"/>
  <c r="H29" i="3"/>
  <c r="G29" i="3" s="1"/>
  <c r="H27" i="3"/>
  <c r="J27" i="3" s="1"/>
  <c r="H25" i="3"/>
  <c r="J25" i="3" s="1"/>
  <c r="H23" i="3"/>
  <c r="G23" i="3" s="1"/>
  <c r="H21" i="3"/>
  <c r="G21" i="3" s="1"/>
  <c r="H19" i="3"/>
  <c r="G19" i="3" s="1"/>
  <c r="H17" i="3"/>
  <c r="H15" i="3"/>
  <c r="G15" i="3" s="1"/>
  <c r="H13" i="3"/>
  <c r="G13" i="3" s="1"/>
  <c r="H11" i="3"/>
  <c r="J11" i="3" s="1"/>
  <c r="H9" i="3"/>
  <c r="G9" i="3" s="1"/>
  <c r="H7" i="3"/>
  <c r="H5" i="3"/>
  <c r="G5" i="3" s="1"/>
  <c r="H30" i="3"/>
  <c r="G30" i="3" s="1"/>
  <c r="H28" i="3"/>
  <c r="H26" i="3"/>
  <c r="G26" i="3" s="1"/>
  <c r="H24" i="3"/>
  <c r="G24" i="3" s="1"/>
  <c r="H22" i="3"/>
  <c r="G22" i="3" s="1"/>
  <c r="H20" i="3"/>
  <c r="G20" i="3" s="1"/>
  <c r="H18" i="3"/>
  <c r="J18" i="3" s="1"/>
  <c r="H16" i="3"/>
  <c r="G16" i="3" s="1"/>
  <c r="H14" i="3"/>
  <c r="G14" i="3" s="1"/>
  <c r="H12" i="3"/>
  <c r="J12" i="3" s="1"/>
  <c r="H10" i="3"/>
  <c r="H8" i="3"/>
  <c r="J8" i="3" s="1"/>
  <c r="H6" i="3"/>
  <c r="G6" i="3" s="1"/>
  <c r="H4" i="3"/>
  <c r="J4" i="3" s="1"/>
  <c r="P4" i="3" s="1"/>
  <c r="L20" i="4"/>
  <c r="K4" i="3"/>
  <c r="K16" i="4"/>
  <c r="Q16" i="4" s="1"/>
  <c r="K17" i="4"/>
  <c r="Q17" i="4" s="1"/>
  <c r="Q15" i="4"/>
  <c r="H22" i="4"/>
  <c r="Q20" i="4"/>
  <c r="R20" i="4" s="1"/>
  <c r="H20" i="4"/>
  <c r="Q49" i="4"/>
  <c r="R49" i="4" s="1"/>
  <c r="K52" i="4"/>
  <c r="L51" i="4" s="1"/>
  <c r="H27" i="2"/>
  <c r="K27" i="2"/>
  <c r="Q27" i="2" s="1"/>
  <c r="H49" i="4"/>
  <c r="K47" i="4"/>
  <c r="L47" i="4" s="1"/>
  <c r="K28" i="2"/>
  <c r="Q28" i="2" s="1"/>
  <c r="K26" i="2"/>
  <c r="J9" i="3"/>
  <c r="J24" i="3"/>
  <c r="G8" i="3"/>
  <c r="G27" i="3"/>
  <c r="G25" i="3"/>
  <c r="G11" i="3"/>
  <c r="J19" i="3" l="1"/>
  <c r="J5" i="3"/>
  <c r="J29" i="3"/>
  <c r="K29" i="3" s="1"/>
  <c r="G31" i="3"/>
  <c r="G12" i="3"/>
  <c r="J16" i="3"/>
  <c r="J21" i="3"/>
  <c r="K21" i="3" s="1"/>
  <c r="G18" i="3"/>
  <c r="J23" i="3"/>
  <c r="K23" i="3" s="1"/>
  <c r="J20" i="3"/>
  <c r="K20" i="3" s="1"/>
  <c r="J22" i="3"/>
  <c r="K22" i="3" s="1"/>
  <c r="J26" i="3"/>
  <c r="J13" i="3"/>
  <c r="K13" i="3" s="1"/>
  <c r="G4" i="3"/>
  <c r="J6" i="3"/>
  <c r="P6" i="3" s="1"/>
  <c r="J15" i="3"/>
  <c r="P15" i="3" s="1"/>
  <c r="J14" i="3"/>
  <c r="P14" i="3" s="1"/>
  <c r="J30" i="3"/>
  <c r="K30" i="3" s="1"/>
  <c r="G10" i="3"/>
  <c r="J10" i="3"/>
  <c r="G28" i="3"/>
  <c r="J28" i="3"/>
  <c r="G7" i="3"/>
  <c r="J7" i="3"/>
  <c r="G17" i="3"/>
  <c r="J17" i="3"/>
  <c r="R15" i="4"/>
  <c r="L15" i="4"/>
  <c r="Q26" i="2"/>
  <c r="R26" i="2" s="1"/>
  <c r="L26" i="2"/>
  <c r="K5" i="3"/>
  <c r="P5" i="3"/>
  <c r="K11" i="3"/>
  <c r="P11" i="3"/>
  <c r="K27" i="3"/>
  <c r="P27" i="3"/>
  <c r="K8" i="3"/>
  <c r="P8" i="3"/>
  <c r="K12" i="3"/>
  <c r="P12" i="3"/>
  <c r="K18" i="3"/>
  <c r="P18" i="3"/>
  <c r="K9" i="3"/>
  <c r="P9" i="3"/>
  <c r="K15" i="3"/>
  <c r="K31" i="3"/>
  <c r="P31" i="3"/>
  <c r="K14" i="3"/>
  <c r="P30" i="3"/>
  <c r="Q4" i="3"/>
  <c r="P23" i="3"/>
  <c r="K25" i="3"/>
  <c r="P25" i="3"/>
  <c r="K16" i="3"/>
  <c r="P16" i="3"/>
  <c r="K24" i="3"/>
  <c r="P24" i="3"/>
  <c r="K26" i="3"/>
  <c r="P26" i="3"/>
  <c r="K19" i="3"/>
  <c r="P19" i="3"/>
  <c r="P29" i="3"/>
  <c r="P20" i="3"/>
  <c r="Q52" i="4"/>
  <c r="Q47" i="4"/>
  <c r="R47" i="4" s="1"/>
  <c r="F16" i="11"/>
  <c r="F14" i="11"/>
  <c r="G16" i="11"/>
  <c r="I14" i="4" s="1"/>
  <c r="F12" i="11"/>
  <c r="G10" i="11"/>
  <c r="I8" i="4" s="1"/>
  <c r="G8" i="11"/>
  <c r="I6" i="4" s="1"/>
  <c r="F6" i="11"/>
  <c r="G47" i="11"/>
  <c r="I45" i="4" s="1"/>
  <c r="F45" i="11"/>
  <c r="G43" i="11"/>
  <c r="G41" i="11"/>
  <c r="G38" i="11"/>
  <c r="F37" i="11"/>
  <c r="G33" i="11"/>
  <c r="I31" i="4" s="1"/>
  <c r="F31" i="11"/>
  <c r="F30" i="11"/>
  <c r="F28" i="11"/>
  <c r="G27" i="11"/>
  <c r="I25" i="4" s="1"/>
  <c r="G29" i="11"/>
  <c r="I27" i="4" s="1"/>
  <c r="F15" i="11"/>
  <c r="F13" i="11"/>
  <c r="G12" i="11"/>
  <c r="I10" i="4" s="1"/>
  <c r="F11" i="11"/>
  <c r="F10" i="11"/>
  <c r="F9" i="11"/>
  <c r="F7" i="11"/>
  <c r="G6" i="11"/>
  <c r="I4" i="4" s="1"/>
  <c r="F48" i="11"/>
  <c r="F46" i="11"/>
  <c r="G45" i="11"/>
  <c r="I43" i="4" s="1"/>
  <c r="F44" i="11"/>
  <c r="F43" i="11"/>
  <c r="F42" i="11"/>
  <c r="F41" i="11"/>
  <c r="F40" i="11"/>
  <c r="F39" i="11"/>
  <c r="F33" i="11"/>
  <c r="F32" i="11"/>
  <c r="F29" i="11"/>
  <c r="F26" i="11"/>
  <c r="E42" i="10"/>
  <c r="G42" i="10" s="1"/>
  <c r="E41" i="10"/>
  <c r="G41" i="10" s="1"/>
  <c r="E40" i="10"/>
  <c r="G40" i="10" s="1"/>
  <c r="E39" i="10"/>
  <c r="G39" i="10" s="1"/>
  <c r="I37" i="2" s="1"/>
  <c r="E38" i="10"/>
  <c r="G38" i="10" s="1"/>
  <c r="I36" i="2" s="1"/>
  <c r="E37" i="10"/>
  <c r="G37" i="10" s="1"/>
  <c r="I35" i="2" s="1"/>
  <c r="E36" i="10"/>
  <c r="G36" i="10" s="1"/>
  <c r="I34" i="2" s="1"/>
  <c r="E35" i="10"/>
  <c r="G35" i="10" s="1"/>
  <c r="I33" i="2" s="1"/>
  <c r="E34" i="10"/>
  <c r="G34" i="10" s="1"/>
  <c r="I32" i="2" s="1"/>
  <c r="E33" i="10"/>
  <c r="G33" i="10" s="1"/>
  <c r="I31" i="2" s="1"/>
  <c r="E32" i="10"/>
  <c r="G32" i="10" s="1"/>
  <c r="I30" i="2" s="1"/>
  <c r="E31" i="10"/>
  <c r="G31" i="10" s="1"/>
  <c r="I29" i="2" s="1"/>
  <c r="E27" i="10"/>
  <c r="G27" i="10" s="1"/>
  <c r="I25" i="2" s="1"/>
  <c r="E26" i="10"/>
  <c r="F26" i="10" s="1"/>
  <c r="E25" i="10"/>
  <c r="G25" i="10" s="1"/>
  <c r="I23" i="2" s="1"/>
  <c r="E24" i="10"/>
  <c r="G24" i="10" s="1"/>
  <c r="I22" i="2" s="1"/>
  <c r="E23" i="10"/>
  <c r="G23" i="10" s="1"/>
  <c r="I21" i="2" s="1"/>
  <c r="E22" i="10"/>
  <c r="G22" i="10" s="1"/>
  <c r="I20" i="2" s="1"/>
  <c r="E21" i="10"/>
  <c r="G21" i="10" s="1"/>
  <c r="I19" i="2" s="1"/>
  <c r="E20" i="10"/>
  <c r="G20" i="10" s="1"/>
  <c r="I18" i="2" s="1"/>
  <c r="E19" i="10"/>
  <c r="G19" i="10" s="1"/>
  <c r="I17" i="2" s="1"/>
  <c r="E18" i="10"/>
  <c r="G18" i="10" s="1"/>
  <c r="I16" i="2" s="1"/>
  <c r="E17" i="10"/>
  <c r="G17" i="10" s="1"/>
  <c r="I15" i="2" s="1"/>
  <c r="E16" i="10"/>
  <c r="G16" i="10" s="1"/>
  <c r="I14" i="2" s="1"/>
  <c r="E15" i="10"/>
  <c r="G15" i="10" s="1"/>
  <c r="I13" i="2" s="1"/>
  <c r="E14" i="10"/>
  <c r="G14" i="10" s="1"/>
  <c r="I12" i="2" s="1"/>
  <c r="E13" i="10"/>
  <c r="G13" i="10" s="1"/>
  <c r="I11" i="2" s="1"/>
  <c r="E12" i="10"/>
  <c r="G12" i="10" s="1"/>
  <c r="I10" i="2" s="1"/>
  <c r="E11" i="10"/>
  <c r="G11" i="10" s="1"/>
  <c r="I9" i="2" s="1"/>
  <c r="E10" i="10"/>
  <c r="G10" i="10" s="1"/>
  <c r="I8" i="2" s="1"/>
  <c r="E9" i="10"/>
  <c r="G9" i="10" s="1"/>
  <c r="I7" i="2" s="1"/>
  <c r="E8" i="10"/>
  <c r="G8" i="10" s="1"/>
  <c r="I6" i="2" s="1"/>
  <c r="K6" i="2" s="1"/>
  <c r="E7" i="10"/>
  <c r="G7" i="10" s="1"/>
  <c r="I5" i="2" s="1"/>
  <c r="E6" i="10"/>
  <c r="F6" i="10" s="1"/>
  <c r="E37" i="8"/>
  <c r="G37" i="8" s="1"/>
  <c r="E36" i="8"/>
  <c r="E35" i="8"/>
  <c r="E39" i="8"/>
  <c r="E34" i="8"/>
  <c r="E33" i="8"/>
  <c r="E32" i="8"/>
  <c r="E31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K6" i="3" l="1"/>
  <c r="P21" i="3"/>
  <c r="P22" i="3"/>
  <c r="P13" i="3"/>
  <c r="Q13" i="3" s="1"/>
  <c r="I35" i="7"/>
  <c r="K35" i="7" s="1"/>
  <c r="Q35" i="7" s="1"/>
  <c r="F37" i="8"/>
  <c r="R51" i="4"/>
  <c r="P17" i="3"/>
  <c r="K17" i="3"/>
  <c r="P7" i="3"/>
  <c r="K7" i="3"/>
  <c r="P28" i="3"/>
  <c r="K28" i="3"/>
  <c r="P10" i="3"/>
  <c r="K10" i="3"/>
  <c r="G6" i="8"/>
  <c r="F6" i="8" s="1"/>
  <c r="F27" i="11"/>
  <c r="Q20" i="3"/>
  <c r="Q29" i="3"/>
  <c r="Q19" i="3"/>
  <c r="Q26" i="3"/>
  <c r="Q24" i="3"/>
  <c r="Q22" i="3"/>
  <c r="Q16" i="3"/>
  <c r="Q25" i="3"/>
  <c r="Q23" i="3"/>
  <c r="Q21" i="3"/>
  <c r="Q30" i="3"/>
  <c r="Q14" i="3"/>
  <c r="Q31" i="3"/>
  <c r="Q15" i="3"/>
  <c r="Q9" i="3"/>
  <c r="Q6" i="3"/>
  <c r="Q18" i="3"/>
  <c r="Q12" i="3"/>
  <c r="Q8" i="3"/>
  <c r="Q27" i="3"/>
  <c r="Q11" i="3"/>
  <c r="Q5" i="3"/>
  <c r="F47" i="11"/>
  <c r="G31" i="11"/>
  <c r="I29" i="4" s="1"/>
  <c r="H29" i="4" s="1"/>
  <c r="I36" i="4"/>
  <c r="H4" i="4"/>
  <c r="I41" i="4"/>
  <c r="K41" i="4" s="1"/>
  <c r="I39" i="4"/>
  <c r="H39" i="4" s="1"/>
  <c r="G11" i="8"/>
  <c r="F11" i="8" s="1"/>
  <c r="G21" i="8"/>
  <c r="I19" i="7" s="1"/>
  <c r="G23" i="8"/>
  <c r="G25" i="8"/>
  <c r="G27" i="8"/>
  <c r="G29" i="8"/>
  <c r="F29" i="8" s="1"/>
  <c r="G31" i="8"/>
  <c r="G33" i="8"/>
  <c r="G35" i="8"/>
  <c r="G10" i="8"/>
  <c r="G12" i="8"/>
  <c r="F12" i="8" s="1"/>
  <c r="G22" i="8"/>
  <c r="F22" i="8" s="1"/>
  <c r="G24" i="8"/>
  <c r="G26" i="8"/>
  <c r="G28" i="8"/>
  <c r="G30" i="8"/>
  <c r="G32" i="8"/>
  <c r="G34" i="8"/>
  <c r="G36" i="8"/>
  <c r="G39" i="8"/>
  <c r="F16" i="10"/>
  <c r="F20" i="10"/>
  <c r="F24" i="10"/>
  <c r="F33" i="10"/>
  <c r="F37" i="10"/>
  <c r="F41" i="10"/>
  <c r="F14" i="10"/>
  <c r="F18" i="10"/>
  <c r="F22" i="10"/>
  <c r="F31" i="10"/>
  <c r="F35" i="10"/>
  <c r="F39" i="10"/>
  <c r="G26" i="10"/>
  <c r="I24" i="2" s="1"/>
  <c r="G7" i="8"/>
  <c r="G9" i="8"/>
  <c r="G8" i="8"/>
  <c r="F38" i="11"/>
  <c r="F8" i="11"/>
  <c r="G14" i="11"/>
  <c r="G26" i="11"/>
  <c r="I24" i="4" s="1"/>
  <c r="G30" i="11"/>
  <c r="I28" i="4" s="1"/>
  <c r="H28" i="4" s="1"/>
  <c r="G39" i="11"/>
  <c r="G44" i="11"/>
  <c r="G46" i="11"/>
  <c r="G48" i="11"/>
  <c r="G7" i="11"/>
  <c r="G9" i="11"/>
  <c r="G11" i="11"/>
  <c r="G13" i="11"/>
  <c r="G15" i="11"/>
  <c r="G28" i="11"/>
  <c r="I26" i="4" s="1"/>
  <c r="H26" i="4" s="1"/>
  <c r="I30" i="4"/>
  <c r="K30" i="4" s="1"/>
  <c r="G37" i="11"/>
  <c r="I35" i="4" s="1"/>
  <c r="G40" i="11"/>
  <c r="G42" i="11"/>
  <c r="F42" i="10"/>
  <c r="F15" i="10"/>
  <c r="F17" i="10"/>
  <c r="F19" i="10"/>
  <c r="F21" i="10"/>
  <c r="F23" i="10"/>
  <c r="F25" i="10"/>
  <c r="F27" i="10"/>
  <c r="F32" i="10"/>
  <c r="F34" i="10"/>
  <c r="F36" i="10"/>
  <c r="F38" i="10"/>
  <c r="F40" i="10"/>
  <c r="F8" i="10"/>
  <c r="F10" i="10"/>
  <c r="F11" i="10"/>
  <c r="F13" i="10"/>
  <c r="G6" i="10"/>
  <c r="I4" i="2" s="1"/>
  <c r="F7" i="10"/>
  <c r="F9" i="10"/>
  <c r="F12" i="10"/>
  <c r="G18" i="8"/>
  <c r="G20" i="8"/>
  <c r="F20" i="8" s="1"/>
  <c r="G17" i="8"/>
  <c r="G19" i="8"/>
  <c r="G14" i="8"/>
  <c r="G16" i="8"/>
  <c r="G13" i="8"/>
  <c r="F13" i="8" s="1"/>
  <c r="G15" i="8"/>
  <c r="K40" i="2"/>
  <c r="H40" i="2"/>
  <c r="F40" i="2"/>
  <c r="K39" i="2"/>
  <c r="H39" i="2"/>
  <c r="F39" i="2"/>
  <c r="K38" i="2"/>
  <c r="H38" i="2"/>
  <c r="F38" i="2"/>
  <c r="K19" i="4"/>
  <c r="H19" i="4"/>
  <c r="F19" i="4"/>
  <c r="K18" i="4"/>
  <c r="F18" i="4"/>
  <c r="K14" i="4"/>
  <c r="H14" i="4"/>
  <c r="F14" i="4"/>
  <c r="F13" i="4"/>
  <c r="F12" i="4"/>
  <c r="F11" i="4"/>
  <c r="K10" i="4"/>
  <c r="H10" i="4"/>
  <c r="F10" i="4"/>
  <c r="F9" i="4"/>
  <c r="K8" i="4"/>
  <c r="H8" i="4"/>
  <c r="K6" i="4"/>
  <c r="H6" i="4"/>
  <c r="K4" i="4"/>
  <c r="F4" i="4"/>
  <c r="F42" i="4"/>
  <c r="F41" i="4"/>
  <c r="F40" i="4"/>
  <c r="F39" i="4"/>
  <c r="K33" i="4"/>
  <c r="H33" i="4"/>
  <c r="K31" i="4"/>
  <c r="H31" i="4"/>
  <c r="F31" i="4"/>
  <c r="F28" i="4"/>
  <c r="K27" i="4"/>
  <c r="H27" i="4"/>
  <c r="F26" i="4"/>
  <c r="K25" i="4"/>
  <c r="H25" i="4"/>
  <c r="F25" i="4"/>
  <c r="F24" i="4"/>
  <c r="F29" i="7"/>
  <c r="F30" i="7"/>
  <c r="F31" i="7"/>
  <c r="F32" i="7"/>
  <c r="F33" i="7"/>
  <c r="F34" i="7"/>
  <c r="F35" i="7"/>
  <c r="F36" i="7"/>
  <c r="F10" i="7"/>
  <c r="F11" i="7"/>
  <c r="F12" i="7"/>
  <c r="F13" i="7"/>
  <c r="F14" i="7"/>
  <c r="F15" i="7"/>
  <c r="F16" i="7"/>
  <c r="F17" i="7"/>
  <c r="F7" i="7"/>
  <c r="F8" i="7"/>
  <c r="F28" i="7"/>
  <c r="F26" i="7"/>
  <c r="F25" i="7"/>
  <c r="F24" i="7"/>
  <c r="F23" i="7"/>
  <c r="I10" i="7" l="1"/>
  <c r="I9" i="7"/>
  <c r="H35" i="7"/>
  <c r="I4" i="7"/>
  <c r="K4" i="7" s="1"/>
  <c r="I15" i="7"/>
  <c r="K15" i="7" s="1"/>
  <c r="F17" i="8"/>
  <c r="I16" i="7"/>
  <c r="K16" i="7" s="1"/>
  <c r="F18" i="8"/>
  <c r="I34" i="7"/>
  <c r="K34" i="7" s="1"/>
  <c r="Q34" i="7" s="1"/>
  <c r="F36" i="8"/>
  <c r="I30" i="7"/>
  <c r="H30" i="7" s="1"/>
  <c r="F32" i="8"/>
  <c r="I26" i="7"/>
  <c r="K26" i="7" s="1"/>
  <c r="Q26" i="7" s="1"/>
  <c r="F28" i="8"/>
  <c r="I22" i="7"/>
  <c r="H22" i="7" s="1"/>
  <c r="F24" i="8"/>
  <c r="I33" i="7"/>
  <c r="K33" i="7" s="1"/>
  <c r="Q33" i="7" s="1"/>
  <c r="F35" i="8"/>
  <c r="I29" i="7"/>
  <c r="H29" i="7" s="1"/>
  <c r="F31" i="8"/>
  <c r="I25" i="7"/>
  <c r="H25" i="7" s="1"/>
  <c r="F27" i="8"/>
  <c r="I21" i="7"/>
  <c r="K21" i="7" s="1"/>
  <c r="F23" i="8"/>
  <c r="I17" i="7"/>
  <c r="K17" i="7" s="1"/>
  <c r="F19" i="8"/>
  <c r="I36" i="7"/>
  <c r="H36" i="7" s="1"/>
  <c r="F39" i="8"/>
  <c r="I32" i="7"/>
  <c r="H32" i="7" s="1"/>
  <c r="F34" i="8"/>
  <c r="I28" i="7"/>
  <c r="K28" i="7" s="1"/>
  <c r="Q28" i="7" s="1"/>
  <c r="F30" i="8"/>
  <c r="I24" i="7"/>
  <c r="H24" i="7" s="1"/>
  <c r="F26" i="8"/>
  <c r="I8" i="7"/>
  <c r="H8" i="7" s="1"/>
  <c r="F10" i="8"/>
  <c r="I31" i="7"/>
  <c r="F33" i="8"/>
  <c r="I23" i="7"/>
  <c r="H23" i="7" s="1"/>
  <c r="F25" i="8"/>
  <c r="K45" i="4"/>
  <c r="F21" i="8"/>
  <c r="I12" i="7"/>
  <c r="H12" i="7" s="1"/>
  <c r="F14" i="8"/>
  <c r="I13" i="7"/>
  <c r="H13" i="7" s="1"/>
  <c r="F15" i="8"/>
  <c r="I14" i="7"/>
  <c r="K14" i="7" s="1"/>
  <c r="Q14" i="7" s="1"/>
  <c r="F16" i="8"/>
  <c r="I6" i="7"/>
  <c r="K6" i="7" s="1"/>
  <c r="F8" i="8"/>
  <c r="I5" i="7"/>
  <c r="H5" i="7" s="1"/>
  <c r="F7" i="8"/>
  <c r="I7" i="7"/>
  <c r="K7" i="7" s="1"/>
  <c r="F9" i="8"/>
  <c r="Q4" i="7"/>
  <c r="L18" i="4"/>
  <c r="Q10" i="3"/>
  <c r="Q28" i="3"/>
  <c r="Q7" i="3"/>
  <c r="Q17" i="3"/>
  <c r="K32" i="3"/>
  <c r="L30" i="4"/>
  <c r="K29" i="4"/>
  <c r="Q29" i="4" s="1"/>
  <c r="L38" i="2"/>
  <c r="I13" i="4"/>
  <c r="H13" i="4" s="1"/>
  <c r="H18" i="4"/>
  <c r="I9" i="4"/>
  <c r="H9" i="4" s="1"/>
  <c r="I5" i="4"/>
  <c r="K5" i="4" s="1"/>
  <c r="L4" i="4" s="1"/>
  <c r="I44" i="4"/>
  <c r="I12" i="4"/>
  <c r="I11" i="4"/>
  <c r="H11" i="4" s="1"/>
  <c r="I7" i="4"/>
  <c r="H7" i="4" s="1"/>
  <c r="I46" i="4"/>
  <c r="H46" i="4" s="1"/>
  <c r="I42" i="4"/>
  <c r="I27" i="7"/>
  <c r="K36" i="7"/>
  <c r="Q36" i="7" s="1"/>
  <c r="Q27" i="4"/>
  <c r="Q31" i="4"/>
  <c r="Q33" i="4"/>
  <c r="Q41" i="4"/>
  <c r="Q19" i="4"/>
  <c r="Q25" i="4"/>
  <c r="Q4" i="4"/>
  <c r="Q6" i="4"/>
  <c r="Q8" i="4"/>
  <c r="Q10" i="4"/>
  <c r="Q14" i="4"/>
  <c r="Q18" i="4"/>
  <c r="Q30" i="4"/>
  <c r="Q45" i="4"/>
  <c r="H24" i="4"/>
  <c r="K24" i="4"/>
  <c r="H45" i="4"/>
  <c r="Q38" i="2"/>
  <c r="Q40" i="2"/>
  <c r="H43" i="4"/>
  <c r="I40" i="4"/>
  <c r="K32" i="4"/>
  <c r="H34" i="4"/>
  <c r="I37" i="4"/>
  <c r="I20" i="7"/>
  <c r="H20" i="7" s="1"/>
  <c r="Q39" i="2"/>
  <c r="H41" i="4"/>
  <c r="I38" i="4"/>
  <c r="K36" i="4"/>
  <c r="H36" i="4"/>
  <c r="I18" i="7"/>
  <c r="H18" i="7" s="1"/>
  <c r="I11" i="7"/>
  <c r="K11" i="7" s="1"/>
  <c r="K28" i="4"/>
  <c r="H30" i="4"/>
  <c r="K39" i="4"/>
  <c r="K43" i="4"/>
  <c r="K26" i="4"/>
  <c r="H32" i="4"/>
  <c r="K34" i="4"/>
  <c r="F22" i="7"/>
  <c r="H21" i="7"/>
  <c r="F21" i="7"/>
  <c r="F20" i="7"/>
  <c r="K19" i="7"/>
  <c r="H19" i="7"/>
  <c r="F19" i="7"/>
  <c r="F18" i="7"/>
  <c r="K10" i="7"/>
  <c r="H10" i="7"/>
  <c r="K9" i="7"/>
  <c r="H9" i="7"/>
  <c r="F9" i="7"/>
  <c r="K8" i="7"/>
  <c r="F6" i="7"/>
  <c r="F5" i="7"/>
  <c r="H4" i="7"/>
  <c r="F4" i="7"/>
  <c r="H21" i="2"/>
  <c r="H22" i="2"/>
  <c r="H23" i="2"/>
  <c r="H24" i="2"/>
  <c r="H25" i="2"/>
  <c r="H29" i="2"/>
  <c r="H30" i="2"/>
  <c r="H31" i="2"/>
  <c r="H32" i="2"/>
  <c r="H33" i="2"/>
  <c r="H34" i="2"/>
  <c r="H35" i="2"/>
  <c r="H36" i="2"/>
  <c r="H37" i="2"/>
  <c r="H15" i="2"/>
  <c r="H16" i="2"/>
  <c r="H17" i="2"/>
  <c r="H18" i="2"/>
  <c r="H19" i="2"/>
  <c r="H20" i="2"/>
  <c r="H13" i="2"/>
  <c r="H14" i="2"/>
  <c r="H12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9" i="2"/>
  <c r="K30" i="2"/>
  <c r="K31" i="2"/>
  <c r="K32" i="2"/>
  <c r="K33" i="2"/>
  <c r="K34" i="2"/>
  <c r="K35" i="2"/>
  <c r="K36" i="2"/>
  <c r="K37" i="2"/>
  <c r="F37" i="2"/>
  <c r="F36" i="2"/>
  <c r="F35" i="2"/>
  <c r="F34" i="2"/>
  <c r="F33" i="2"/>
  <c r="F32" i="2"/>
  <c r="F31" i="2"/>
  <c r="F30" i="2"/>
  <c r="F29" i="2"/>
  <c r="F21" i="2"/>
  <c r="F19" i="2"/>
  <c r="F18" i="2"/>
  <c r="F17" i="2"/>
  <c r="F16" i="2"/>
  <c r="F13" i="2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K11" i="2"/>
  <c r="Q11" i="2" s="1"/>
  <c r="K10" i="2"/>
  <c r="K9" i="2"/>
  <c r="Q9" i="2" s="1"/>
  <c r="K8" i="2"/>
  <c r="K7" i="2"/>
  <c r="Q7" i="2" s="1"/>
  <c r="K5" i="2"/>
  <c r="Q5" i="2" s="1"/>
  <c r="K4" i="2"/>
  <c r="H11" i="2"/>
  <c r="H10" i="2"/>
  <c r="H9" i="2"/>
  <c r="H8" i="2"/>
  <c r="H7" i="2"/>
  <c r="H6" i="2"/>
  <c r="H5" i="2"/>
  <c r="H4" i="2"/>
  <c r="F11" i="2"/>
  <c r="F9" i="2"/>
  <c r="F8" i="2"/>
  <c r="F6" i="2"/>
  <c r="F5" i="2"/>
  <c r="F4" i="2"/>
  <c r="K22" i="7" l="1"/>
  <c r="K12" i="7"/>
  <c r="K30" i="7"/>
  <c r="Q30" i="7" s="1"/>
  <c r="K29" i="7"/>
  <c r="Q29" i="7" s="1"/>
  <c r="P29" i="7" s="1"/>
  <c r="H28" i="7"/>
  <c r="H26" i="7"/>
  <c r="H16" i="7"/>
  <c r="H15" i="7"/>
  <c r="H17" i="7"/>
  <c r="H31" i="7"/>
  <c r="K31" i="7"/>
  <c r="Q31" i="7" s="1"/>
  <c r="P31" i="7" s="1"/>
  <c r="K13" i="7"/>
  <c r="Q13" i="7" s="1"/>
  <c r="K32" i="7"/>
  <c r="L32" i="7" s="1"/>
  <c r="K24" i="7"/>
  <c r="Q24" i="7" s="1"/>
  <c r="P24" i="7" s="1"/>
  <c r="K23" i="7"/>
  <c r="Q23" i="7" s="1"/>
  <c r="P23" i="7" s="1"/>
  <c r="H34" i="7"/>
  <c r="K25" i="7"/>
  <c r="Q25" i="7" s="1"/>
  <c r="P25" i="7" s="1"/>
  <c r="H33" i="7"/>
  <c r="R30" i="4"/>
  <c r="L27" i="4"/>
  <c r="R18" i="4"/>
  <c r="H14" i="7"/>
  <c r="K5" i="7"/>
  <c r="L4" i="7" s="1"/>
  <c r="H6" i="7"/>
  <c r="H7" i="7"/>
  <c r="F8" i="6"/>
  <c r="F6" i="6"/>
  <c r="F4" i="6"/>
  <c r="C7" i="6"/>
  <c r="C5" i="6"/>
  <c r="N49" i="2"/>
  <c r="J49" i="2"/>
  <c r="F7" i="6"/>
  <c r="F5" i="6"/>
  <c r="C8" i="6"/>
  <c r="C6" i="6"/>
  <c r="C4" i="6"/>
  <c r="D9" i="6"/>
  <c r="J48" i="2"/>
  <c r="N43" i="2"/>
  <c r="N45" i="2"/>
  <c r="G9" i="6"/>
  <c r="N41" i="2"/>
  <c r="J51" i="4"/>
  <c r="J44" i="2"/>
  <c r="P44" i="7"/>
  <c r="P45" i="7"/>
  <c r="J40" i="7"/>
  <c r="J44" i="7"/>
  <c r="J41" i="7"/>
  <c r="J45" i="7"/>
  <c r="P44" i="2"/>
  <c r="P48" i="4"/>
  <c r="J42" i="2"/>
  <c r="J45" i="2"/>
  <c r="J46" i="7"/>
  <c r="P40" i="7"/>
  <c r="J42" i="7"/>
  <c r="J38" i="7"/>
  <c r="J43" i="7"/>
  <c r="P45" i="2"/>
  <c r="P42" i="7"/>
  <c r="P42" i="2"/>
  <c r="J50" i="4"/>
  <c r="P38" i="7"/>
  <c r="J48" i="4"/>
  <c r="P51" i="4"/>
  <c r="P50" i="4"/>
  <c r="J21" i="4"/>
  <c r="J23" i="4"/>
  <c r="J20" i="4"/>
  <c r="P37" i="7"/>
  <c r="P20" i="4"/>
  <c r="J16" i="4"/>
  <c r="P23" i="4"/>
  <c r="J15" i="4"/>
  <c r="J22" i="4"/>
  <c r="J17" i="4"/>
  <c r="P21" i="4"/>
  <c r="P22" i="4"/>
  <c r="P15" i="4"/>
  <c r="O4" i="3"/>
  <c r="J52" i="4"/>
  <c r="P49" i="4"/>
  <c r="P17" i="4"/>
  <c r="P16" i="4"/>
  <c r="P52" i="4"/>
  <c r="O20" i="3"/>
  <c r="O29" i="3"/>
  <c r="O19" i="3"/>
  <c r="O13" i="3"/>
  <c r="O26" i="3"/>
  <c r="O24" i="3"/>
  <c r="O22" i="3"/>
  <c r="O16" i="3"/>
  <c r="O25" i="3"/>
  <c r="O23" i="3"/>
  <c r="O21" i="3"/>
  <c r="O30" i="3"/>
  <c r="O14" i="3"/>
  <c r="O31" i="3"/>
  <c r="O15" i="3"/>
  <c r="O9" i="3"/>
  <c r="O6" i="3"/>
  <c r="O18" i="3"/>
  <c r="O12" i="3"/>
  <c r="O8" i="3"/>
  <c r="O27" i="3"/>
  <c r="O11" i="3"/>
  <c r="O5" i="3"/>
  <c r="P47" i="4"/>
  <c r="I32" i="3"/>
  <c r="O17" i="3"/>
  <c r="O7" i="3"/>
  <c r="O28" i="3"/>
  <c r="O10" i="3"/>
  <c r="L4" i="2"/>
  <c r="L32" i="2"/>
  <c r="L8" i="7"/>
  <c r="Q32" i="3"/>
  <c r="O32" i="3" s="1"/>
  <c r="K7" i="4"/>
  <c r="J7" i="4" s="1"/>
  <c r="L32" i="4"/>
  <c r="L24" i="4"/>
  <c r="L34" i="2"/>
  <c r="L23" i="2"/>
  <c r="L29" i="2"/>
  <c r="L20" i="2"/>
  <c r="L12" i="2"/>
  <c r="R38" i="2"/>
  <c r="K13" i="4"/>
  <c r="J13" i="4" s="1"/>
  <c r="K9" i="4"/>
  <c r="Q9" i="4" s="1"/>
  <c r="Q5" i="4"/>
  <c r="P5" i="4" s="1"/>
  <c r="H42" i="4"/>
  <c r="K42" i="4"/>
  <c r="J42" i="4" s="1"/>
  <c r="H12" i="4"/>
  <c r="K12" i="4"/>
  <c r="L12" i="4" s="1"/>
  <c r="H5" i="4"/>
  <c r="K11" i="4"/>
  <c r="K46" i="4"/>
  <c r="K27" i="7"/>
  <c r="L26" i="7" s="1"/>
  <c r="H27" i="7"/>
  <c r="H11" i="7"/>
  <c r="K20" i="7"/>
  <c r="L19" i="7" s="1"/>
  <c r="Q43" i="4"/>
  <c r="Q36" i="4"/>
  <c r="Q32" i="4"/>
  <c r="P45" i="4"/>
  <c r="P30" i="4"/>
  <c r="P18" i="4"/>
  <c r="P14" i="4"/>
  <c r="P10" i="4"/>
  <c r="P8" i="4"/>
  <c r="P6" i="4"/>
  <c r="P4" i="4"/>
  <c r="P29" i="4"/>
  <c r="P25" i="4"/>
  <c r="P19" i="4"/>
  <c r="P41" i="4"/>
  <c r="P33" i="4"/>
  <c r="P31" i="4"/>
  <c r="P27" i="4"/>
  <c r="Q34" i="4"/>
  <c r="Q26" i="4"/>
  <c r="Q39" i="4"/>
  <c r="Q28" i="4"/>
  <c r="R27" i="4" s="1"/>
  <c r="Q24" i="4"/>
  <c r="K18" i="7"/>
  <c r="Q18" i="7" s="1"/>
  <c r="N47" i="2"/>
  <c r="N38" i="2"/>
  <c r="N32" i="2"/>
  <c r="N26" i="2"/>
  <c r="N20" i="2"/>
  <c r="N34" i="2"/>
  <c r="N29" i="2"/>
  <c r="N23" i="2"/>
  <c r="P39" i="7"/>
  <c r="P43" i="7"/>
  <c r="J39" i="7"/>
  <c r="J37" i="7"/>
  <c r="P41" i="7"/>
  <c r="P46" i="7"/>
  <c r="P47" i="2"/>
  <c r="I4" i="3"/>
  <c r="I7" i="3"/>
  <c r="P43" i="2"/>
  <c r="J41" i="2"/>
  <c r="I10" i="3"/>
  <c r="J47" i="2"/>
  <c r="J50" i="2"/>
  <c r="J46" i="2"/>
  <c r="I28" i="3"/>
  <c r="I17" i="3"/>
  <c r="J49" i="4"/>
  <c r="J43" i="2"/>
  <c r="I12" i="3"/>
  <c r="I23" i="3"/>
  <c r="I16" i="3"/>
  <c r="I24" i="3"/>
  <c r="I13" i="3"/>
  <c r="P28" i="2"/>
  <c r="I20" i="3"/>
  <c r="P50" i="2"/>
  <c r="I11" i="3"/>
  <c r="I18" i="3"/>
  <c r="I9" i="3"/>
  <c r="P26" i="2"/>
  <c r="I31" i="3"/>
  <c r="I30" i="3"/>
  <c r="P41" i="2"/>
  <c r="I27" i="3"/>
  <c r="I21" i="3"/>
  <c r="I25" i="3"/>
  <c r="I22" i="3"/>
  <c r="I26" i="3"/>
  <c r="I19" i="3"/>
  <c r="I29" i="3"/>
  <c r="P27" i="2"/>
  <c r="P46" i="2"/>
  <c r="I5" i="3"/>
  <c r="I8" i="3"/>
  <c r="I6" i="3"/>
  <c r="I15" i="3"/>
  <c r="J47" i="4"/>
  <c r="I14" i="3"/>
  <c r="J28" i="2"/>
  <c r="J27" i="2"/>
  <c r="J26" i="2"/>
  <c r="Q37" i="2"/>
  <c r="Q35" i="2"/>
  <c r="Q33" i="2"/>
  <c r="Q31" i="2"/>
  <c r="P31" i="2" s="1"/>
  <c r="Q29" i="2"/>
  <c r="Q24" i="2"/>
  <c r="P24" i="2" s="1"/>
  <c r="Q22" i="2"/>
  <c r="P22" i="2" s="1"/>
  <c r="Q20" i="2"/>
  <c r="Q18" i="2"/>
  <c r="P18" i="2" s="1"/>
  <c r="Q16" i="2"/>
  <c r="P16" i="2" s="1"/>
  <c r="Q14" i="2"/>
  <c r="P14" i="2" s="1"/>
  <c r="Q12" i="2"/>
  <c r="P5" i="2"/>
  <c r="P7" i="2"/>
  <c r="P9" i="2"/>
  <c r="P11" i="2"/>
  <c r="J45" i="4"/>
  <c r="J36" i="4"/>
  <c r="P26" i="7"/>
  <c r="Q4" i="2"/>
  <c r="Q6" i="2"/>
  <c r="P6" i="2" s="1"/>
  <c r="Q8" i="2"/>
  <c r="P8" i="2" s="1"/>
  <c r="Q10" i="2"/>
  <c r="P10" i="2" s="1"/>
  <c r="Q36" i="2"/>
  <c r="Q34" i="2"/>
  <c r="Q32" i="2"/>
  <c r="Q30" i="2"/>
  <c r="P30" i="2" s="1"/>
  <c r="Q25" i="2"/>
  <c r="P25" i="2" s="1"/>
  <c r="Q23" i="2"/>
  <c r="Q21" i="2"/>
  <c r="P21" i="2" s="1"/>
  <c r="Q19" i="2"/>
  <c r="P19" i="2" s="1"/>
  <c r="Q17" i="2"/>
  <c r="P17" i="2" s="1"/>
  <c r="Q15" i="2"/>
  <c r="P15" i="2" s="1"/>
  <c r="Q13" i="2"/>
  <c r="P13" i="2" s="1"/>
  <c r="K38" i="4"/>
  <c r="L38" i="4" s="1"/>
  <c r="H38" i="4"/>
  <c r="P39" i="2"/>
  <c r="H37" i="4"/>
  <c r="K37" i="4"/>
  <c r="H35" i="4"/>
  <c r="K35" i="4"/>
  <c r="L35" i="4" s="1"/>
  <c r="K40" i="4"/>
  <c r="J40" i="4" s="1"/>
  <c r="H40" i="4"/>
  <c r="P40" i="2"/>
  <c r="P38" i="2"/>
  <c r="J5" i="2"/>
  <c r="J7" i="2"/>
  <c r="J9" i="2"/>
  <c r="J11" i="2"/>
  <c r="P14" i="7"/>
  <c r="P28" i="7"/>
  <c r="P30" i="7"/>
  <c r="P33" i="7"/>
  <c r="P34" i="7"/>
  <c r="P35" i="7"/>
  <c r="P36" i="7"/>
  <c r="Q12" i="7"/>
  <c r="Q22" i="7"/>
  <c r="Q11" i="7"/>
  <c r="Q21" i="7"/>
  <c r="Q19" i="7"/>
  <c r="Q17" i="7"/>
  <c r="Q15" i="7"/>
  <c r="Q16" i="7"/>
  <c r="Q8" i="7"/>
  <c r="Q9" i="7"/>
  <c r="Q10" i="7"/>
  <c r="Q6" i="7"/>
  <c r="Q7" i="7"/>
  <c r="H44" i="4"/>
  <c r="K44" i="4"/>
  <c r="J4" i="2"/>
  <c r="J6" i="2"/>
  <c r="J8" i="2"/>
  <c r="J10" i="2"/>
  <c r="J5" i="4"/>
  <c r="J41" i="4"/>
  <c r="J39" i="4"/>
  <c r="J30" i="7"/>
  <c r="J33" i="4"/>
  <c r="J32" i="4"/>
  <c r="J29" i="4"/>
  <c r="J28" i="4"/>
  <c r="J27" i="4"/>
  <c r="J37" i="2"/>
  <c r="J36" i="2"/>
  <c r="J33" i="2"/>
  <c r="J32" i="2"/>
  <c r="J29" i="2"/>
  <c r="J24" i="2"/>
  <c r="J22" i="2"/>
  <c r="J20" i="2"/>
  <c r="J18" i="2"/>
  <c r="J16" i="2"/>
  <c r="J14" i="2"/>
  <c r="J12" i="2"/>
  <c r="J4" i="7"/>
  <c r="J6" i="7"/>
  <c r="J7" i="7"/>
  <c r="J8" i="7"/>
  <c r="J22" i="7"/>
  <c r="J39" i="2"/>
  <c r="J14" i="4"/>
  <c r="J10" i="4"/>
  <c r="J4" i="4"/>
  <c r="J30" i="4"/>
  <c r="J29" i="7"/>
  <c r="J28" i="7"/>
  <c r="J38" i="2"/>
  <c r="J43" i="4"/>
  <c r="J26" i="4"/>
  <c r="J33" i="7"/>
  <c r="J35" i="7"/>
  <c r="J24" i="7"/>
  <c r="J14" i="7"/>
  <c r="J35" i="2"/>
  <c r="J34" i="2"/>
  <c r="J31" i="2"/>
  <c r="J30" i="2"/>
  <c r="J25" i="2"/>
  <c r="J23" i="2"/>
  <c r="J21" i="2"/>
  <c r="J19" i="2"/>
  <c r="J17" i="2"/>
  <c r="J15" i="2"/>
  <c r="J13" i="2"/>
  <c r="J9" i="7"/>
  <c r="J10" i="7"/>
  <c r="J11" i="7"/>
  <c r="J12" i="7"/>
  <c r="J15" i="7"/>
  <c r="J16" i="7"/>
  <c r="J17" i="7"/>
  <c r="J19" i="7"/>
  <c r="J21" i="7"/>
  <c r="J19" i="4"/>
  <c r="J8" i="4"/>
  <c r="J34" i="4"/>
  <c r="J25" i="4"/>
  <c r="J40" i="2"/>
  <c r="J18" i="4"/>
  <c r="J6" i="4"/>
  <c r="J31" i="4"/>
  <c r="J24" i="4"/>
  <c r="J34" i="7"/>
  <c r="J36" i="7"/>
  <c r="J26" i="7"/>
  <c r="L11" i="7" l="1"/>
  <c r="Q13" i="4"/>
  <c r="P13" i="4" s="1"/>
  <c r="Q7" i="4"/>
  <c r="R7" i="4" s="1"/>
  <c r="J20" i="7"/>
  <c r="J13" i="7"/>
  <c r="J5" i="7"/>
  <c r="J31" i="7"/>
  <c r="Q5" i="7"/>
  <c r="R4" i="7" s="1"/>
  <c r="Q32" i="7"/>
  <c r="R32" i="7" s="1"/>
  <c r="L23" i="7"/>
  <c r="L29" i="7"/>
  <c r="J23" i="7"/>
  <c r="J32" i="7"/>
  <c r="J25" i="7"/>
  <c r="P32" i="7"/>
  <c r="R29" i="7"/>
  <c r="L44" i="4"/>
  <c r="R32" i="2"/>
  <c r="R24" i="4"/>
  <c r="Q11" i="4"/>
  <c r="R10" i="4" s="1"/>
  <c r="L10" i="4"/>
  <c r="R32" i="4"/>
  <c r="J38" i="4"/>
  <c r="L40" i="4"/>
  <c r="R4" i="4"/>
  <c r="L7" i="4"/>
  <c r="L51" i="2"/>
  <c r="R34" i="2"/>
  <c r="P23" i="2"/>
  <c r="R23" i="2"/>
  <c r="P29" i="2"/>
  <c r="R29" i="2"/>
  <c r="P12" i="2"/>
  <c r="R12" i="2"/>
  <c r="P20" i="2"/>
  <c r="R20" i="2"/>
  <c r="R4" i="2"/>
  <c r="R8" i="7"/>
  <c r="R15" i="7"/>
  <c r="R11" i="7"/>
  <c r="L15" i="7"/>
  <c r="R23" i="7"/>
  <c r="Q20" i="7"/>
  <c r="P20" i="7" s="1"/>
  <c r="Q46" i="4"/>
  <c r="P46" i="4" s="1"/>
  <c r="J46" i="4"/>
  <c r="J9" i="4"/>
  <c r="Q12" i="4"/>
  <c r="Q42" i="4"/>
  <c r="J11" i="4"/>
  <c r="J12" i="4"/>
  <c r="J18" i="7"/>
  <c r="Q27" i="7"/>
  <c r="R26" i="7" s="1"/>
  <c r="J27" i="7"/>
  <c r="J35" i="4"/>
  <c r="Q35" i="4"/>
  <c r="J37" i="4"/>
  <c r="Q37" i="4"/>
  <c r="P24" i="4"/>
  <c r="P28" i="4"/>
  <c r="P39" i="4"/>
  <c r="P26" i="4"/>
  <c r="P34" i="4"/>
  <c r="P32" i="4"/>
  <c r="P36" i="4"/>
  <c r="P43" i="4"/>
  <c r="P9" i="4"/>
  <c r="J44" i="4"/>
  <c r="Q44" i="4"/>
  <c r="Q40" i="4"/>
  <c r="Q38" i="4"/>
  <c r="R38" i="4" s="1"/>
  <c r="P33" i="2"/>
  <c r="P35" i="2"/>
  <c r="P37" i="2"/>
  <c r="P34" i="2"/>
  <c r="P36" i="2"/>
  <c r="P4" i="2"/>
  <c r="P7" i="7"/>
  <c r="P6" i="7"/>
  <c r="P4" i="7"/>
  <c r="P10" i="7"/>
  <c r="P9" i="7"/>
  <c r="P8" i="7"/>
  <c r="P11" i="7"/>
  <c r="P13" i="7"/>
  <c r="P12" i="7"/>
  <c r="P15" i="7"/>
  <c r="P17" i="7"/>
  <c r="P16" i="7"/>
  <c r="P18" i="7"/>
  <c r="P21" i="7"/>
  <c r="P19" i="7"/>
  <c r="P22" i="7"/>
  <c r="P11" i="4" l="1"/>
  <c r="R44" i="4"/>
  <c r="R12" i="4"/>
  <c r="P7" i="4"/>
  <c r="P5" i="7"/>
  <c r="L47" i="7"/>
  <c r="J47" i="7" s="1"/>
  <c r="R40" i="4"/>
  <c r="R35" i="4"/>
  <c r="L53" i="4"/>
  <c r="J53" i="4" s="1"/>
  <c r="R51" i="2"/>
  <c r="R19" i="7"/>
  <c r="R47" i="7" s="1"/>
  <c r="P42" i="4"/>
  <c r="P12" i="4"/>
  <c r="P27" i="7"/>
  <c r="P37" i="4"/>
  <c r="P38" i="4"/>
  <c r="P40" i="4"/>
  <c r="P44" i="4"/>
  <c r="P35" i="4"/>
  <c r="R53" i="4" l="1"/>
  <c r="P53" i="4" s="1"/>
  <c r="P47" i="7"/>
  <c r="P32" i="2" l="1"/>
  <c r="P51" i="2"/>
  <c r="J51" i="2"/>
</calcChain>
</file>

<file path=xl/sharedStrings.xml><?xml version="1.0" encoding="utf-8"?>
<sst xmlns="http://schemas.openxmlformats.org/spreadsheetml/2006/main" count="587" uniqueCount="231">
  <si>
    <t xml:space="preserve">SUB FACTOR </t>
  </si>
  <si>
    <t xml:space="preserve">VARIABLE </t>
  </si>
  <si>
    <t xml:space="preserve">INDICADOR </t>
  </si>
  <si>
    <t xml:space="preserve">1. Ahorros </t>
  </si>
  <si>
    <t xml:space="preserve">1.1 Ingreso de dinero </t>
  </si>
  <si>
    <t xml:space="preserve">1.2 Salida de dinero </t>
  </si>
  <si>
    <t xml:space="preserve">2. Ahorros a plazo </t>
  </si>
  <si>
    <t xml:space="preserve">3. CTS </t>
  </si>
  <si>
    <t xml:space="preserve">3. Pagos varios </t>
  </si>
  <si>
    <t xml:space="preserve">1.3 Medio </t>
  </si>
  <si>
    <t xml:space="preserve">Nuevos soles </t>
  </si>
  <si>
    <t xml:space="preserve">Dólares americanos </t>
  </si>
  <si>
    <t xml:space="preserve">Euros </t>
  </si>
  <si>
    <t xml:space="preserve">PROBABILIDAD </t>
  </si>
  <si>
    <t>Media</t>
  </si>
  <si>
    <t>BAJO</t>
  </si>
  <si>
    <t xml:space="preserve">IMPACTO </t>
  </si>
  <si>
    <t xml:space="preserve">MEDIO </t>
  </si>
  <si>
    <t>Medio</t>
  </si>
  <si>
    <t>Alto</t>
  </si>
  <si>
    <t xml:space="preserve">NIVEL DE EFICACIA </t>
  </si>
  <si>
    <t xml:space="preserve">ALTO </t>
  </si>
  <si>
    <t xml:space="preserve">Muy baja </t>
  </si>
  <si>
    <t xml:space="preserve">Baja </t>
  </si>
  <si>
    <t xml:space="preserve">Alta </t>
  </si>
  <si>
    <t xml:space="preserve">Muy alta </t>
  </si>
  <si>
    <t xml:space="preserve">Muy bajo </t>
  </si>
  <si>
    <t xml:space="preserve">Bajo </t>
  </si>
  <si>
    <t xml:space="preserve">Muy alto </t>
  </si>
  <si>
    <t>RIESGO INHERENTE</t>
  </si>
  <si>
    <t>PROBABILIDAD</t>
  </si>
  <si>
    <t xml:space="preserve">MUY BAJO </t>
  </si>
  <si>
    <t xml:space="preserve">PESO </t>
  </si>
  <si>
    <t xml:space="preserve">RIESGO INHERENTE </t>
  </si>
  <si>
    <t>FACTOR DE RIESGO CLIENTES</t>
  </si>
  <si>
    <t>RIESGO RESIDUAL</t>
  </si>
  <si>
    <t>1.1 Edad</t>
  </si>
  <si>
    <t xml:space="preserve">1.2 Tipo de D.O.I. </t>
  </si>
  <si>
    <t xml:space="preserve">1.3 Antigüedad </t>
  </si>
  <si>
    <t xml:space="preserve">1.4 Actividad </t>
  </si>
  <si>
    <t>Activo</t>
  </si>
  <si>
    <t>Suspensión temporal</t>
  </si>
  <si>
    <t>Baja de oficio</t>
  </si>
  <si>
    <t>Desconocido</t>
  </si>
  <si>
    <t>1.5 Condición SUNAT</t>
  </si>
  <si>
    <t>1.6 Cliente Sensible</t>
  </si>
  <si>
    <t xml:space="preserve">Extranjero no residente </t>
  </si>
  <si>
    <t xml:space="preserve">PEP </t>
  </si>
  <si>
    <t xml:space="preserve">Usuario </t>
  </si>
  <si>
    <t>Nuevos Soles</t>
  </si>
  <si>
    <t>Euros</t>
  </si>
  <si>
    <t>Dólares</t>
  </si>
  <si>
    <t>Callao</t>
  </si>
  <si>
    <t xml:space="preserve">Lima </t>
  </si>
  <si>
    <t>Piura</t>
  </si>
  <si>
    <t>1. Persona Natural</t>
  </si>
  <si>
    <t xml:space="preserve">2.3 Medio </t>
  </si>
  <si>
    <t>FACTOR DE RIESGO SERVICIOS</t>
  </si>
  <si>
    <r>
      <t xml:space="preserve"> </t>
    </r>
    <r>
      <rPr>
        <sz val="10"/>
        <color theme="1"/>
        <rFont val="Calibri"/>
        <family val="2"/>
      </rPr>
      <t xml:space="preserve">≥ </t>
    </r>
    <r>
      <rPr>
        <sz val="10"/>
        <color theme="1"/>
        <rFont val="Calibri"/>
        <family val="2"/>
        <scheme val="minor"/>
      </rPr>
      <t xml:space="preserve">18 </t>
    </r>
    <r>
      <rPr>
        <sz val="10"/>
        <color theme="1"/>
        <rFont val="Calibri"/>
        <family val="2"/>
      </rPr>
      <t>≤</t>
    </r>
    <r>
      <rPr>
        <sz val="10"/>
        <color theme="1"/>
        <rFont val="Calibri"/>
        <family val="2"/>
        <scheme val="minor"/>
      </rPr>
      <t xml:space="preserve"> 25 años</t>
    </r>
  </si>
  <si>
    <r>
      <t xml:space="preserve"> </t>
    </r>
    <r>
      <rPr>
        <sz val="10"/>
        <color theme="1"/>
        <rFont val="Calibri"/>
        <family val="2"/>
      </rPr>
      <t>&gt;</t>
    </r>
    <r>
      <rPr>
        <sz val="10"/>
        <color theme="1"/>
        <rFont val="Calibri"/>
        <family val="2"/>
        <scheme val="minor"/>
      </rPr>
      <t xml:space="preserve"> 25 ≤ 40 años</t>
    </r>
  </si>
  <si>
    <r>
      <rPr>
        <sz val="10"/>
        <color theme="1"/>
        <rFont val="Calibri"/>
        <family val="2"/>
      </rPr>
      <t>&gt;</t>
    </r>
    <r>
      <rPr>
        <sz val="10"/>
        <color theme="1"/>
        <rFont val="Calibri"/>
        <family val="2"/>
        <scheme val="minor"/>
      </rPr>
      <t xml:space="preserve"> 40 ≤ 65 años</t>
    </r>
  </si>
  <si>
    <r>
      <t xml:space="preserve"> </t>
    </r>
    <r>
      <rPr>
        <sz val="10"/>
        <color theme="1"/>
        <rFont val="Calibri"/>
        <family val="2"/>
      </rPr>
      <t xml:space="preserve">&gt; </t>
    </r>
    <r>
      <rPr>
        <sz val="10"/>
        <color theme="1"/>
        <rFont val="Calibri"/>
        <family val="2"/>
        <scheme val="minor"/>
      </rPr>
      <t xml:space="preserve">65 años </t>
    </r>
  </si>
  <si>
    <t>Carnet de extranjería</t>
  </si>
  <si>
    <t>Pasaporte</t>
  </si>
  <si>
    <r>
      <t xml:space="preserve"> </t>
    </r>
    <r>
      <rPr>
        <sz val="10"/>
        <color theme="1"/>
        <rFont val="Calibri"/>
        <family val="2"/>
      </rPr>
      <t xml:space="preserve">&gt; </t>
    </r>
    <r>
      <rPr>
        <sz val="10"/>
        <color theme="1"/>
        <rFont val="Calibri"/>
        <family val="2"/>
        <scheme val="minor"/>
      </rPr>
      <t>1 ≤  5 años</t>
    </r>
  </si>
  <si>
    <r>
      <t xml:space="preserve"> </t>
    </r>
    <r>
      <rPr>
        <sz val="10"/>
        <color theme="1"/>
        <rFont val="Calibri"/>
        <family val="2"/>
      </rPr>
      <t>&gt; 5</t>
    </r>
    <r>
      <rPr>
        <sz val="10"/>
        <color theme="1"/>
        <rFont val="Calibri"/>
        <family val="2"/>
        <scheme val="minor"/>
      </rPr>
      <t xml:space="preserve"> ≤ 10 años</t>
    </r>
  </si>
  <si>
    <t>Dependiente</t>
  </si>
  <si>
    <t xml:space="preserve">Independiente formal </t>
  </si>
  <si>
    <t xml:space="preserve">Independiente informal </t>
  </si>
  <si>
    <t>Desconocida</t>
  </si>
  <si>
    <t xml:space="preserve">Porcentaje </t>
  </si>
  <si>
    <t xml:space="preserve">Número de Registro </t>
  </si>
  <si>
    <t>…</t>
  </si>
  <si>
    <t xml:space="preserve">Efectivo </t>
  </si>
  <si>
    <t>Cheque de gerencia</t>
  </si>
  <si>
    <t xml:space="preserve">Cheque del mismo banco </t>
  </si>
  <si>
    <t xml:space="preserve">Cheque de otro banco </t>
  </si>
  <si>
    <t xml:space="preserve">Transferencia entre cuentas propias  </t>
  </si>
  <si>
    <t xml:space="preserve">Transferencia entre cuentas de terceros </t>
  </si>
  <si>
    <t>Transferencia de otros bancos</t>
  </si>
  <si>
    <t>Transferencia del exterior</t>
  </si>
  <si>
    <t>&lt; USD 10,000</t>
  </si>
  <si>
    <t>≥ USD 10,000 &lt; USD 50,000</t>
  </si>
  <si>
    <t>≥ USD USD 50,000</t>
  </si>
  <si>
    <t xml:space="preserve"> ≥ USD 10,000 &lt; USD 50,000</t>
  </si>
  <si>
    <t xml:space="preserve">Ventanilla </t>
  </si>
  <si>
    <t>Agentes</t>
  </si>
  <si>
    <t xml:space="preserve">Plataforma web </t>
  </si>
  <si>
    <t xml:space="preserve">ATM </t>
  </si>
  <si>
    <t xml:space="preserve">Banca telefónica </t>
  </si>
  <si>
    <t xml:space="preserve">Procesos masivos </t>
  </si>
  <si>
    <t xml:space="preserve">MUY ALTO </t>
  </si>
  <si>
    <t>Dólares americanos</t>
  </si>
  <si>
    <t xml:space="preserve">Otros </t>
  </si>
  <si>
    <t xml:space="preserve">Con cargo en cuenta </t>
  </si>
  <si>
    <t xml:space="preserve">Sin cargo en cuenta </t>
  </si>
  <si>
    <t>Amazonas</t>
  </si>
  <si>
    <t xml:space="preserve">Ancash </t>
  </si>
  <si>
    <t>Apurimac</t>
  </si>
  <si>
    <t>Arequipa</t>
  </si>
  <si>
    <t>Ayacucho</t>
  </si>
  <si>
    <t>Cajamarca</t>
  </si>
  <si>
    <t>Cusco</t>
  </si>
  <si>
    <t>Huancavelica</t>
  </si>
  <si>
    <t xml:space="preserve">Huánuco </t>
  </si>
  <si>
    <t>Ica</t>
  </si>
  <si>
    <t xml:space="preserve">Junín </t>
  </si>
  <si>
    <t>La Libertad</t>
  </si>
  <si>
    <t>Lambayeque</t>
  </si>
  <si>
    <t xml:space="preserve">Loreto </t>
  </si>
  <si>
    <t xml:space="preserve">Madre de Dios </t>
  </si>
  <si>
    <t xml:space="preserve">Moquegua </t>
  </si>
  <si>
    <t xml:space="preserve">Pasco </t>
  </si>
  <si>
    <t>Puno</t>
  </si>
  <si>
    <t xml:space="preserve">San Martín </t>
  </si>
  <si>
    <t>Tacna</t>
  </si>
  <si>
    <t>Tumbes</t>
  </si>
  <si>
    <t>Ucayali</t>
  </si>
  <si>
    <t xml:space="preserve">Zona Geográfica Nacional </t>
  </si>
  <si>
    <t xml:space="preserve">Zona Geográfica Internacional </t>
  </si>
  <si>
    <t>Venezuela</t>
  </si>
  <si>
    <t>Bolivia</t>
  </si>
  <si>
    <t>PESO</t>
  </si>
  <si>
    <t>DNI</t>
  </si>
  <si>
    <t xml:space="preserve">ANÁLISIS DEL IMPACTO: PRODUCTO PASIVO </t>
  </si>
  <si>
    <t xml:space="preserve">Registro </t>
  </si>
  <si>
    <t xml:space="preserve">1.6 Moneda </t>
  </si>
  <si>
    <t xml:space="preserve">1.7 Canal presencial </t>
  </si>
  <si>
    <t xml:space="preserve">1.8 Canal no presencial </t>
  </si>
  <si>
    <t xml:space="preserve">1.3 Número de cuentas por saldo en cuenta </t>
  </si>
  <si>
    <t>1.5 Volumen transado en el periodo de análisis</t>
  </si>
  <si>
    <t xml:space="preserve">1.4 Número de cuentas por volumen transado del periodo de análisis </t>
  </si>
  <si>
    <t>1.9 Lugar de Apertura de la cuenta</t>
  </si>
  <si>
    <t>1.9 Lugar de apertura de la cuenta</t>
  </si>
  <si>
    <t xml:space="preserve">1.4 Número de operaciones  </t>
  </si>
  <si>
    <t xml:space="preserve">2.4 Número de operaciones  </t>
  </si>
  <si>
    <t xml:space="preserve">2.5 Cuantía de la operación </t>
  </si>
  <si>
    <t xml:space="preserve">2.6 Canal presencial </t>
  </si>
  <si>
    <t xml:space="preserve">2.7 Canal no presencial </t>
  </si>
  <si>
    <t xml:space="preserve">2.8 Lugar de la operación </t>
  </si>
  <si>
    <t>≥  USD 50,000</t>
  </si>
  <si>
    <t>&lt; USD 5,000</t>
  </si>
  <si>
    <t>≥ USD 5,000 &lt; USD 10,000</t>
  </si>
  <si>
    <t>≥ USD 10,000</t>
  </si>
  <si>
    <t>&lt; USD 1,000</t>
  </si>
  <si>
    <t>≥ USD 1,000 &lt; USD 2,500</t>
  </si>
  <si>
    <t>≥ USD 2,500</t>
  </si>
  <si>
    <t xml:space="preserve">RIESGO RESIDUAL </t>
  </si>
  <si>
    <t xml:space="preserve">2. Persona Jurídica </t>
  </si>
  <si>
    <t>1.8 Moneda del Producto</t>
  </si>
  <si>
    <t>1.9 Lugar de vinculación</t>
  </si>
  <si>
    <r>
      <t xml:space="preserve"> </t>
    </r>
    <r>
      <rPr>
        <sz val="10"/>
        <color theme="1"/>
        <rFont val="Calibri"/>
        <family val="2"/>
      </rPr>
      <t xml:space="preserve">≤ </t>
    </r>
    <r>
      <rPr>
        <sz val="10"/>
        <color theme="1"/>
        <rFont val="Calibri"/>
        <family val="2"/>
        <scheme val="minor"/>
      </rPr>
      <t xml:space="preserve"> 1 año</t>
    </r>
  </si>
  <si>
    <t xml:space="preserve">2.1 Ingreso de dinero </t>
  </si>
  <si>
    <t xml:space="preserve">2.2 Salida de dinero </t>
  </si>
  <si>
    <t xml:space="preserve">2.3 Saldo en cuenta </t>
  </si>
  <si>
    <t xml:space="preserve">3.1 Ingreso de dinero </t>
  </si>
  <si>
    <t xml:space="preserve">3.2 Saldo en cuenta </t>
  </si>
  <si>
    <t>NIVEL DE EFICACIA</t>
  </si>
  <si>
    <t>3.1 …</t>
  </si>
  <si>
    <t xml:space="preserve">3.2… </t>
  </si>
  <si>
    <t xml:space="preserve">3.3… </t>
  </si>
  <si>
    <t xml:space="preserve">1.6 Canal presencial </t>
  </si>
  <si>
    <t>Apurímac</t>
  </si>
  <si>
    <t xml:space="preserve">1.7 Tipo de cuenta </t>
  </si>
  <si>
    <t xml:space="preserve">1. Remesas / Transferencia de fondos </t>
  </si>
  <si>
    <t xml:space="preserve">1.1 Envío de dinero </t>
  </si>
  <si>
    <t xml:space="preserve">1.2 Recepción de dinero </t>
  </si>
  <si>
    <t xml:space="preserve">2.1 Compra (ingreso) </t>
  </si>
  <si>
    <t xml:space="preserve">2.2 Venta (salida) </t>
  </si>
  <si>
    <t xml:space="preserve">2. Operaciones de cambio </t>
  </si>
  <si>
    <t>1.8 Moneda del producto</t>
  </si>
  <si>
    <r>
      <t xml:space="preserve">Periodo de análisis: </t>
    </r>
    <r>
      <rPr>
        <sz val="11"/>
        <color theme="1"/>
        <rFont val="Calibri"/>
        <family val="2"/>
        <scheme val="minor"/>
      </rPr>
      <t>De julio del 2014 a junio del 2015</t>
    </r>
  </si>
  <si>
    <t xml:space="preserve">1.7 Lugar de la operación </t>
  </si>
  <si>
    <t>MITIGANTES IMPLEMENTADOS</t>
  </si>
  <si>
    <t xml:space="preserve">RIESGO INHERENTE / RIESGO RESIDUAL </t>
  </si>
  <si>
    <t>1.7 Tipo de producto</t>
  </si>
  <si>
    <t xml:space="preserve">Pasivo </t>
  </si>
  <si>
    <t xml:space="preserve">Colocaciones </t>
  </si>
  <si>
    <t xml:space="preserve">Servicios </t>
  </si>
  <si>
    <t>RIESGO INHERENTE:</t>
  </si>
  <si>
    <t>RIESGO RESIDUAL:</t>
  </si>
  <si>
    <t xml:space="preserve">FACTOR DE RIESGO PRODUCTO: PASIVO </t>
  </si>
  <si>
    <t>≥ USD 50,000</t>
  </si>
  <si>
    <t xml:space="preserve">ANÁLISIS DEL IMPACTO: CLIENTES </t>
  </si>
  <si>
    <t xml:space="preserve">ANÁLISIS DEL IMPACTO: SERVICIOS </t>
  </si>
  <si>
    <t xml:space="preserve">FACTOR DE RIESGO ZONA GEOGRÁFICA </t>
  </si>
  <si>
    <t xml:space="preserve">ANÁLISIS DEL IMPACTO: ZONA GEOGRÁFICA </t>
  </si>
  <si>
    <t xml:space="preserve">MATRIZ DE RIESGO DE LA EMPRESA </t>
  </si>
  <si>
    <t xml:space="preserve">Factor de Riesgo Cliente </t>
  </si>
  <si>
    <t xml:space="preserve">Factor de Riesgo Producto PASIVO </t>
  </si>
  <si>
    <t xml:space="preserve">Factor de Riesgo Producto COLOCACIONES </t>
  </si>
  <si>
    <t xml:space="preserve">Factor de Riesgo Producto SERVICIOS </t>
  </si>
  <si>
    <t xml:space="preserve">Factor de Riesgo ZONA GEOGRÁFICA </t>
  </si>
  <si>
    <t>AHORROS</t>
  </si>
  <si>
    <t xml:space="preserve">ESTIMACIÓN MATEMÁTICA </t>
  </si>
  <si>
    <t>Chiclayo</t>
  </si>
  <si>
    <t>Trujillo</t>
  </si>
  <si>
    <r>
      <t xml:space="preserve"> </t>
    </r>
    <r>
      <rPr>
        <sz val="10"/>
        <color theme="1"/>
        <rFont val="Calibri"/>
        <family val="2"/>
      </rPr>
      <t xml:space="preserve">&gt; </t>
    </r>
    <r>
      <rPr>
        <sz val="10"/>
        <color theme="1"/>
        <rFont val="Calibri"/>
        <family val="2"/>
        <scheme val="minor"/>
      </rPr>
      <t>10 años</t>
    </r>
  </si>
  <si>
    <t>2.1 Tiempo de constitución de la empresa</t>
  </si>
  <si>
    <t>2.2 Antigüedad como cliente</t>
  </si>
  <si>
    <t>2.3 Tipo de cliente</t>
  </si>
  <si>
    <t>Minero</t>
  </si>
  <si>
    <t>Pesquero</t>
  </si>
  <si>
    <t>2.4 Cliente sensible</t>
  </si>
  <si>
    <t>No domiciliado</t>
  </si>
  <si>
    <t>Administración PEP</t>
  </si>
  <si>
    <t>2.5 Lugar de vinculación del cliente</t>
  </si>
  <si>
    <r>
      <t xml:space="preserve"> </t>
    </r>
    <r>
      <rPr>
        <sz val="10"/>
        <color theme="1"/>
        <rFont val="Calibri"/>
        <family val="2"/>
      </rPr>
      <t xml:space="preserve">≤ </t>
    </r>
    <r>
      <rPr>
        <sz val="10"/>
        <color theme="1"/>
        <rFont val="Calibri"/>
        <family val="2"/>
        <scheme val="minor"/>
      </rPr>
      <t xml:space="preserve"> 5 años</t>
    </r>
  </si>
  <si>
    <r>
      <t xml:space="preserve"> </t>
    </r>
    <r>
      <rPr>
        <sz val="10"/>
        <color theme="1"/>
        <rFont val="Calibri"/>
        <family val="2"/>
      </rPr>
      <t>&gt; 5</t>
    </r>
    <r>
      <rPr>
        <sz val="10"/>
        <color theme="1"/>
        <rFont val="Calibri"/>
        <family val="2"/>
        <scheme val="minor"/>
      </rPr>
      <t xml:space="preserve"> ≤  10 años</t>
    </r>
  </si>
  <si>
    <r>
      <t xml:space="preserve"> </t>
    </r>
    <r>
      <rPr>
        <sz val="10"/>
        <color theme="1"/>
        <rFont val="Calibri"/>
        <family val="2"/>
      </rPr>
      <t xml:space="preserve">≤ </t>
    </r>
    <r>
      <rPr>
        <sz val="10"/>
        <color theme="1"/>
        <rFont val="Calibri"/>
        <family val="2"/>
        <scheme val="minor"/>
      </rPr>
      <t xml:space="preserve"> de 1 año</t>
    </r>
  </si>
  <si>
    <r>
      <t xml:space="preserve"> </t>
    </r>
    <r>
      <rPr>
        <sz val="10"/>
        <color theme="1"/>
        <rFont val="Calibri"/>
        <family val="2"/>
      </rPr>
      <t>&gt;</t>
    </r>
    <r>
      <rPr>
        <sz val="10"/>
        <color theme="1"/>
        <rFont val="Calibri"/>
        <family val="2"/>
        <scheme val="minor"/>
      </rPr>
      <t xml:space="preserve"> 1 ≤ 5 años</t>
    </r>
  </si>
  <si>
    <t xml:space="preserve">Piura </t>
  </si>
  <si>
    <t>España</t>
  </si>
  <si>
    <t>KYC - Formato de conocimiento del cliente</t>
  </si>
  <si>
    <t>Bantotal</t>
  </si>
  <si>
    <t>Los Informes de Riesgo Operacional que realizan de acuerdo a la norma de la SBS</t>
  </si>
  <si>
    <t>Manual de Políticas de LA/FT, Check de PEP en Bantotal, KYC Especial para PEP y Verificación de Listas ONU, GAFI, etc.</t>
  </si>
  <si>
    <t>Registro de Operaciones / Bantotal</t>
  </si>
  <si>
    <t>Formato Origen de Fondos</t>
  </si>
  <si>
    <t>Registro de Operaciones / Bantotal, Formato de Origen de Fondos, sistema de alertas Assist</t>
  </si>
  <si>
    <t>Arequipa Cayma</t>
  </si>
  <si>
    <t>Arequipa Centro</t>
  </si>
  <si>
    <t>Lima - Plaza San Martín</t>
  </si>
  <si>
    <t>Lima - Larco</t>
  </si>
  <si>
    <t>Lima - Los Olivos</t>
  </si>
  <si>
    <t>Lima - Primavera</t>
  </si>
  <si>
    <t>Lima - Salaverry</t>
  </si>
  <si>
    <t>Lima - Begonias</t>
  </si>
  <si>
    <t>Lima - Colonial</t>
  </si>
  <si>
    <t>Lima - La Marina</t>
  </si>
  <si>
    <t>Lima - Santa Anita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</si>
</sst>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indexed="64"/>
      <name val="Arial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0"/>
      <color theme="1"/>
      <name val="Cambria"/>
      <family val="1"/>
      <scheme val="maj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0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9" fontId="2" fillId="0" borderId="0" applyFont="0" applyFill="0" applyBorder="0" applyAlignment="0" applyProtection="0"/>
    <xf numFmtId="0" fontId="4" fillId="0" borderId="3"/>
    <xf numFmtId="0" fontId="4" fillId="0" borderId="3"/>
    <xf numFmtId="0" fontId="4" fillId="0" borderId="3"/>
    <xf numFmtId="164" fontId="4" fillId="0" borderId="0" applyFont="0" applyFill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276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1" fontId="3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1" fontId="3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2" fontId="0" fillId="0" borderId="0" xfId="0" applyNumberFormat="1"/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readingOrder="1"/>
    </xf>
    <xf numFmtId="0" fontId="3" fillId="0" borderId="0" xfId="0" applyFont="1" applyAlignment="1">
      <alignment horizontal="left" vertical="center" readingOrder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/>
    <xf numFmtId="0" fontId="3" fillId="0" borderId="1" xfId="24" applyFont="1" applyFill="1" applyBorder="1" applyAlignment="1" applyProtection="1"/>
    <xf numFmtId="9" fontId="0" fillId="0" borderId="0" xfId="0" applyNumberFormat="1"/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9" fontId="0" fillId="0" borderId="0" xfId="0" applyNumberFormat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9" fontId="3" fillId="0" borderId="2" xfId="1" applyFont="1" applyFill="1" applyBorder="1" applyAlignment="1">
      <alignment horizontal="center" vertical="center"/>
    </xf>
    <xf numFmtId="9" fontId="3" fillId="0" borderId="0" xfId="1" applyFont="1" applyFill="1" applyBorder="1" applyAlignment="1">
      <alignment horizontal="center" vertical="center"/>
    </xf>
    <xf numFmtId="9" fontId="3" fillId="0" borderId="1" xfId="1" applyFont="1" applyFill="1" applyBorder="1" applyAlignment="1">
      <alignment horizontal="center" vertical="center"/>
    </xf>
    <xf numFmtId="9" fontId="3" fillId="0" borderId="0" xfId="1" applyFont="1" applyBorder="1" applyAlignment="1">
      <alignment horizontal="center"/>
    </xf>
    <xf numFmtId="9" fontId="3" fillId="0" borderId="2" xfId="1" applyFont="1" applyBorder="1" applyAlignment="1">
      <alignment horizontal="center"/>
    </xf>
    <xf numFmtId="9" fontId="3" fillId="0" borderId="1" xfId="1" applyFont="1" applyBorder="1" applyAlignment="1">
      <alignment horizont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9" fontId="0" fillId="0" borderId="0" xfId="0" applyNumberFormat="1" applyAlignment="1">
      <alignment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0" xfId="0" applyFont="1"/>
    <xf numFmtId="0" fontId="3" fillId="3" borderId="2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8" fillId="0" borderId="0" xfId="0" applyFont="1"/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/>
    </xf>
    <xf numFmtId="9" fontId="10" fillId="0" borderId="0" xfId="1" applyFont="1" applyFill="1" applyBorder="1" applyAlignment="1">
      <alignment horizontal="center"/>
    </xf>
    <xf numFmtId="0" fontId="9" fillId="0" borderId="0" xfId="0" applyFont="1" applyAlignment="1">
      <alignment vertical="center"/>
    </xf>
    <xf numFmtId="0" fontId="3" fillId="0" borderId="1" xfId="0" applyFont="1" applyBorder="1" applyAlignment="1">
      <alignment horizontal="left" readingOrder="1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9" fontId="0" fillId="0" borderId="0" xfId="0" applyNumberFormat="1" applyAlignment="1">
      <alignment vertical="center"/>
    </xf>
    <xf numFmtId="9" fontId="3" fillId="0" borderId="0" xfId="1" applyFont="1" applyFill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24" applyFont="1" applyFill="1" applyBorder="1" applyAlignment="1" applyProtection="1"/>
    <xf numFmtId="0" fontId="3" fillId="0" borderId="2" xfId="24" applyFont="1" applyFill="1" applyBorder="1" applyAlignment="1" applyProtection="1"/>
    <xf numFmtId="0" fontId="8" fillId="0" borderId="0" xfId="0" applyFont="1" applyAlignment="1">
      <alignment horizontal="center" vertical="center"/>
    </xf>
    <xf numFmtId="2" fontId="3" fillId="0" borderId="0" xfId="0" applyNumberFormat="1" applyFont="1" applyAlignment="1">
      <alignment vertical="center"/>
    </xf>
    <xf numFmtId="2" fontId="3" fillId="0" borderId="1" xfId="0" applyNumberFormat="1" applyFont="1" applyBorder="1" applyAlignment="1">
      <alignment vertical="center"/>
    </xf>
    <xf numFmtId="165" fontId="0" fillId="0" borderId="0" xfId="0" applyNumberFormat="1"/>
    <xf numFmtId="1" fontId="0" fillId="0" borderId="2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1" fillId="0" borderId="0" xfId="0" applyNumberFormat="1" applyFont="1" applyAlignment="1">
      <alignment horizontal="center"/>
    </xf>
    <xf numFmtId="0" fontId="0" fillId="0" borderId="2" xfId="0" applyBorder="1" applyAlignment="1">
      <alignment horizontal="center"/>
    </xf>
    <xf numFmtId="2" fontId="3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 vertical="center"/>
    </xf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9" fontId="10" fillId="0" borderId="4" xfId="1" applyFont="1" applyFill="1" applyBorder="1" applyAlignment="1">
      <alignment horizontal="center"/>
    </xf>
    <xf numFmtId="2" fontId="3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horizontal="left" vertical="center"/>
    </xf>
    <xf numFmtId="2" fontId="10" fillId="0" borderId="0" xfId="0" applyNumberFormat="1" applyFont="1" applyAlignment="1">
      <alignment horizontal="center"/>
    </xf>
    <xf numFmtId="0" fontId="9" fillId="0" borderId="2" xfId="0" applyFont="1" applyBorder="1" applyAlignment="1">
      <alignment vertical="center"/>
    </xf>
    <xf numFmtId="0" fontId="0" fillId="3" borderId="2" xfId="0" applyFill="1" applyBorder="1" applyAlignment="1">
      <alignment horizontal="center"/>
    </xf>
    <xf numFmtId="9" fontId="0" fillId="0" borderId="2" xfId="1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9" fontId="0" fillId="0" borderId="0" xfId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1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right"/>
    </xf>
    <xf numFmtId="1" fontId="11" fillId="0" borderId="0" xfId="0" applyNumberFormat="1" applyFont="1" applyAlignment="1">
      <alignment horizontal="right"/>
    </xf>
    <xf numFmtId="0" fontId="3" fillId="0" borderId="0" xfId="0" applyFont="1" applyAlignment="1">
      <alignment horizontal="left" readingOrder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2" fontId="3" fillId="0" borderId="4" xfId="0" applyNumberFormat="1" applyFont="1" applyBorder="1" applyAlignment="1">
      <alignment vertical="center"/>
    </xf>
    <xf numFmtId="0" fontId="14" fillId="0" borderId="0" xfId="0" applyFont="1" applyAlignment="1">
      <alignment horizontal="right" vertical="center"/>
    </xf>
    <xf numFmtId="0" fontId="3" fillId="3" borderId="4" xfId="0" applyFont="1" applyFill="1" applyBorder="1" applyAlignment="1">
      <alignment horizontal="center"/>
    </xf>
    <xf numFmtId="9" fontId="3" fillId="0" borderId="4" xfId="1" applyFont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right" vertical="center"/>
    </xf>
    <xf numFmtId="0" fontId="11" fillId="0" borderId="4" xfId="0" applyFont="1" applyBorder="1" applyAlignment="1">
      <alignment horizontal="center" vertical="center" wrapText="1"/>
    </xf>
    <xf numFmtId="9" fontId="3" fillId="0" borderId="4" xfId="1" applyFont="1" applyFill="1" applyBorder="1" applyAlignment="1">
      <alignment horizontal="center"/>
    </xf>
    <xf numFmtId="0" fontId="11" fillId="0" borderId="4" xfId="0" applyFont="1" applyBorder="1"/>
    <xf numFmtId="2" fontId="8" fillId="0" borderId="0" xfId="0" applyNumberFormat="1" applyFont="1" applyAlignment="1">
      <alignment horizontal="center"/>
    </xf>
    <xf numFmtId="0" fontId="14" fillId="0" borderId="0" xfId="0" applyFont="1"/>
    <xf numFmtId="165" fontId="0" fillId="0" borderId="0" xfId="0" applyNumberFormat="1" applyAlignment="1">
      <alignment horizontal="center"/>
    </xf>
    <xf numFmtId="0" fontId="0" fillId="0" borderId="4" xfId="0" applyBorder="1" applyAlignment="1">
      <alignment horizontal="left"/>
    </xf>
    <xf numFmtId="9" fontId="0" fillId="0" borderId="4" xfId="0" applyNumberFormat="1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0" fontId="9" fillId="0" borderId="2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0" fillId="4" borderId="0" xfId="0" applyFont="1" applyFill="1" applyAlignment="1">
      <alignment vertical="center"/>
    </xf>
    <xf numFmtId="0" fontId="10" fillId="4" borderId="0" xfId="0" applyFont="1" applyFill="1" applyAlignment="1">
      <alignment horizontal="left" vertical="center"/>
    </xf>
    <xf numFmtId="0" fontId="9" fillId="4" borderId="0" xfId="0" applyFont="1" applyFill="1" applyAlignment="1">
      <alignment vertical="center"/>
    </xf>
    <xf numFmtId="0" fontId="9" fillId="4" borderId="0" xfId="0" applyFont="1" applyFill="1" applyAlignment="1">
      <alignment horizontal="left" vertical="center"/>
    </xf>
    <xf numFmtId="0" fontId="14" fillId="5" borderId="7" xfId="0" applyFont="1" applyFill="1" applyBorder="1" applyAlignment="1">
      <alignment horizontal="center"/>
    </xf>
    <xf numFmtId="0" fontId="14" fillId="6" borderId="7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165" fontId="0" fillId="7" borderId="0" xfId="0" applyNumberFormat="1" applyFill="1" applyAlignment="1">
      <alignment horizontal="center"/>
    </xf>
    <xf numFmtId="0" fontId="0" fillId="7" borderId="4" xfId="0" applyFill="1" applyBorder="1" applyAlignment="1">
      <alignment horizontal="center"/>
    </xf>
    <xf numFmtId="165" fontId="0" fillId="7" borderId="4" xfId="0" applyNumberFormat="1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5" fontId="0" fillId="8" borderId="7" xfId="0" applyNumberForma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0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3" fillId="0" borderId="2" xfId="1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9" fontId="3" fillId="0" borderId="2" xfId="1" applyFont="1" applyBorder="1" applyAlignment="1">
      <alignment horizontal="center" vertical="center"/>
    </xf>
    <xf numFmtId="9" fontId="3" fillId="0" borderId="0" xfId="1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2" fontId="3" fillId="0" borderId="2" xfId="1" applyNumberFormat="1" applyFont="1" applyBorder="1" applyAlignment="1">
      <alignment horizontal="center" vertical="center"/>
    </xf>
    <xf numFmtId="2" fontId="3" fillId="0" borderId="0" xfId="1" applyNumberFormat="1" applyFont="1" applyBorder="1" applyAlignment="1">
      <alignment horizontal="center" vertical="center"/>
    </xf>
    <xf numFmtId="2" fontId="3" fillId="0" borderId="1" xfId="1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2" xfId="1" applyNumberFormat="1" applyFont="1" applyBorder="1" applyAlignment="1">
      <alignment horizontal="center" vertical="center"/>
    </xf>
    <xf numFmtId="1" fontId="3" fillId="0" borderId="0" xfId="1" applyNumberFormat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9" fontId="3" fillId="0" borderId="2" xfId="0" applyNumberFormat="1" applyFont="1" applyBorder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9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2" fontId="3" fillId="0" borderId="2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2" fontId="3" fillId="0" borderId="0" xfId="0" applyNumberFormat="1" applyFont="1" applyAlignment="1">
      <alignment horizontal="left" vertical="center" wrapText="1"/>
    </xf>
    <xf numFmtId="2" fontId="3" fillId="0" borderId="1" xfId="0" applyNumberFormat="1" applyFont="1" applyBorder="1" applyAlignment="1">
      <alignment horizontal="left" vertical="center" wrapText="1"/>
    </xf>
    <xf numFmtId="2" fontId="3" fillId="0" borderId="2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2" fontId="3" fillId="0" borderId="4" xfId="0" applyNumberFormat="1" applyFont="1" applyBorder="1" applyAlignment="1">
      <alignment horizontal="center" vertical="center"/>
    </xf>
    <xf numFmtId="1" fontId="3" fillId="0" borderId="4" xfId="1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2" fontId="3" fillId="0" borderId="1" xfId="0" applyNumberFormat="1" applyFont="1" applyBorder="1" applyAlignment="1">
      <alignment horizontal="left" vertical="center"/>
    </xf>
    <xf numFmtId="165" fontId="3" fillId="0" borderId="4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left" vertical="center"/>
    </xf>
    <xf numFmtId="1" fontId="3" fillId="0" borderId="5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left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9" fontId="3" fillId="0" borderId="5" xfId="1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9" fontId="3" fillId="0" borderId="5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165" fontId="3" fillId="0" borderId="5" xfId="1" applyNumberFormat="1" applyFont="1" applyBorder="1" applyAlignment="1">
      <alignment horizontal="center" vertical="center"/>
    </xf>
    <xf numFmtId="2" fontId="8" fillId="0" borderId="0" xfId="0" applyNumberFormat="1" applyFont="1" applyAlignment="1">
      <alignment horizontal="center"/>
    </xf>
    <xf numFmtId="165" fontId="3" fillId="0" borderId="5" xfId="0" applyNumberFormat="1" applyFont="1" applyBorder="1" applyAlignment="1">
      <alignment horizontal="center" vertical="center"/>
    </xf>
    <xf numFmtId="0" fontId="3" fillId="0" borderId="5" xfId="1" applyNumberFormat="1" applyFont="1" applyBorder="1" applyAlignment="1">
      <alignment horizontal="center" vertical="center"/>
    </xf>
    <xf numFmtId="0" fontId="3" fillId="0" borderId="0" xfId="1" applyNumberFormat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4" fillId="6" borderId="7" xfId="0" applyFont="1" applyFill="1" applyBorder="1" applyAlignment="1">
      <alignment horizontal="center"/>
    </xf>
    <xf numFmtId="0" fontId="14" fillId="5" borderId="7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1" fontId="3" fillId="0" borderId="7" xfId="1" applyNumberFormat="1" applyFont="1" applyBorder="1" applyAlignment="1">
      <alignment horizontal="center" vertical="center"/>
    </xf>
  </cellXfs>
  <cellStyles count="25">
    <cellStyle name="Diseño" xfId="2" xr:uid="{00000000-0005-0000-0000-000000000000}"/>
    <cellStyle name="Diseño 2" xfId="3" xr:uid="{00000000-0005-0000-0000-000001000000}"/>
    <cellStyle name="Diseño_Status de evaluacion de línea nueva" xfId="4" xr:uid="{00000000-0005-0000-0000-000002000000}"/>
    <cellStyle name="Hipervínculo" xfId="24" builtinId="8"/>
    <cellStyle name="Millares 2" xfId="5" xr:uid="{00000000-0005-0000-0000-000004000000}"/>
    <cellStyle name="Normal" xfId="0" builtinId="0"/>
    <cellStyle name="Normal 2" xfId="6" xr:uid="{00000000-0005-0000-0000-000006000000}"/>
    <cellStyle name="Normal 2 2" xfId="7" xr:uid="{00000000-0005-0000-0000-000007000000}"/>
    <cellStyle name="Normal 2 2 2" xfId="8" xr:uid="{00000000-0005-0000-0000-000008000000}"/>
    <cellStyle name="Normal 2 3" xfId="9" xr:uid="{00000000-0005-0000-0000-000009000000}"/>
    <cellStyle name="Normal 2 4" xfId="10" xr:uid="{00000000-0005-0000-0000-00000A000000}"/>
    <cellStyle name="Normal 2 4 2" xfId="11" xr:uid="{00000000-0005-0000-0000-00000B000000}"/>
    <cellStyle name="Normal 3" xfId="12" xr:uid="{00000000-0005-0000-0000-00000C000000}"/>
    <cellStyle name="Normal 3 2" xfId="13" xr:uid="{00000000-0005-0000-0000-00000D000000}"/>
    <cellStyle name="Normal 3 3" xfId="14" xr:uid="{00000000-0005-0000-0000-00000E000000}"/>
    <cellStyle name="Normal 4" xfId="15" xr:uid="{00000000-0005-0000-0000-00000F000000}"/>
    <cellStyle name="Normal 5" xfId="16" xr:uid="{00000000-0005-0000-0000-000010000000}"/>
    <cellStyle name="Normal 6" xfId="17" xr:uid="{00000000-0005-0000-0000-000011000000}"/>
    <cellStyle name="Normal 7" xfId="18" xr:uid="{00000000-0005-0000-0000-000012000000}"/>
    <cellStyle name="Porcentaje" xfId="1" builtinId="5"/>
    <cellStyle name="Porcentaje 2" xfId="19" xr:uid="{00000000-0005-0000-0000-000014000000}"/>
    <cellStyle name="Porcentual 2" xfId="20" xr:uid="{00000000-0005-0000-0000-000015000000}"/>
    <cellStyle name="Porcentual 3" xfId="21" xr:uid="{00000000-0005-0000-0000-000016000000}"/>
    <cellStyle name="Porcentual 4" xfId="22" xr:uid="{00000000-0005-0000-0000-000017000000}"/>
    <cellStyle name="Porcentual 5" xfId="23" xr:uid="{00000000-0005-0000-0000-00001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s.wikipedia.org/wiki/Piur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V47"/>
  <sheetViews>
    <sheetView tabSelected="1" zoomScale="130" zoomScaleNormal="130" workbookViewId="0">
      <selection activeCell="F51" sqref="F51"/>
    </sheetView>
  </sheetViews>
  <sheetFormatPr baseColWidth="10" defaultRowHeight="14.4" x14ac:dyDescent="0.3"/>
  <cols>
    <col min="1" max="1" width="20.33203125" customWidth="1"/>
    <col min="2" max="2" width="5.88671875" customWidth="1"/>
    <col min="3" max="3" width="22.44140625" customWidth="1"/>
    <col min="4" max="4" width="4.5546875" customWidth="1"/>
    <col min="5" max="5" width="24.88671875" customWidth="1"/>
    <col min="6" max="6" width="11.44140625" customWidth="1"/>
    <col min="7" max="7" width="6.6640625" customWidth="1"/>
    <col min="8" max="8" width="11.44140625" customWidth="1"/>
    <col min="9" max="9" width="6" customWidth="1"/>
    <col min="10" max="10" width="9.5546875" customWidth="1"/>
    <col min="11" max="12" width="6.5546875" customWidth="1"/>
    <col min="13" max="13" width="25.33203125" customWidth="1"/>
    <col min="14" max="14" width="11.44140625" customWidth="1"/>
    <col min="15" max="15" width="5.88671875" customWidth="1"/>
    <col min="16" max="16" width="11.44140625" customWidth="1"/>
    <col min="17" max="17" width="6.33203125" customWidth="1"/>
    <col min="18" max="18" width="8.33203125" customWidth="1"/>
    <col min="19" max="22" width="11.44140625" customWidth="1"/>
  </cols>
  <sheetData>
    <row r="1" spans="1:18" ht="20.399999999999999" x14ac:dyDescent="0.35">
      <c r="A1" s="99" t="s">
        <v>34</v>
      </c>
      <c r="B1" s="46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8" x14ac:dyDescent="0.3">
      <c r="A2" s="46"/>
      <c r="B2" s="46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8" ht="26.4" x14ac:dyDescent="0.3">
      <c r="A3" s="162" t="s">
        <v>0</v>
      </c>
      <c r="B3" s="162"/>
      <c r="C3" s="162" t="s">
        <v>1</v>
      </c>
      <c r="D3" s="162"/>
      <c r="E3" s="98" t="s">
        <v>2</v>
      </c>
      <c r="F3" s="162" t="s">
        <v>13</v>
      </c>
      <c r="G3" s="162"/>
      <c r="H3" s="162" t="s">
        <v>16</v>
      </c>
      <c r="I3" s="162"/>
      <c r="J3" s="162" t="s">
        <v>29</v>
      </c>
      <c r="K3" s="162"/>
      <c r="L3" s="98" t="s">
        <v>32</v>
      </c>
      <c r="M3" s="98" t="s">
        <v>173</v>
      </c>
      <c r="N3" s="162" t="s">
        <v>20</v>
      </c>
      <c r="O3" s="162"/>
      <c r="P3" s="162" t="s">
        <v>35</v>
      </c>
      <c r="Q3" s="162"/>
      <c r="R3" s="98" t="s">
        <v>32</v>
      </c>
    </row>
    <row r="4" spans="1:18" x14ac:dyDescent="0.3">
      <c r="A4" s="185" t="s">
        <v>55</v>
      </c>
      <c r="B4" s="148">
        <v>0.7</v>
      </c>
      <c r="C4" s="172" t="s">
        <v>36</v>
      </c>
      <c r="D4" s="175">
        <v>0.1</v>
      </c>
      <c r="E4" s="26" t="s">
        <v>58</v>
      </c>
      <c r="F4" s="27" t="str">
        <f>LOOKUP(G4,RANGOS!$A$2:$B$6)</f>
        <v xml:space="preserve">Muy alta </v>
      </c>
      <c r="G4" s="47">
        <v>5</v>
      </c>
      <c r="H4" s="27" t="str">
        <f>LOOKUP(I4,RANGOS!$A$9:$B$13)</f>
        <v xml:space="preserve">Bajo </v>
      </c>
      <c r="I4" s="51">
        <f>'Data cliente'!G6</f>
        <v>2</v>
      </c>
      <c r="J4" s="27" t="str">
        <f>LOOKUP(K4,RANGOS!$F$2:$G$26)</f>
        <v xml:space="preserve">MEDIO </v>
      </c>
      <c r="K4" s="27">
        <f>G4*I4</f>
        <v>10</v>
      </c>
      <c r="L4" s="166">
        <f>$B$4*$D$4*AVERAGE(K4:K7)</f>
        <v>0.7</v>
      </c>
      <c r="M4" s="159" t="s">
        <v>213</v>
      </c>
      <c r="N4" s="179" t="str">
        <f>LOOKUP(O4,RANGOS!$A$16:$B$20)</f>
        <v>Medio</v>
      </c>
      <c r="O4" s="196">
        <v>3</v>
      </c>
      <c r="P4" s="28" t="str">
        <f>LOOKUP(Q4,RANGOS!$F$2:$G$26)</f>
        <v>BAJO</v>
      </c>
      <c r="Q4" s="28">
        <f>K4/$O$4</f>
        <v>3.3333333333333335</v>
      </c>
      <c r="R4" s="166">
        <f>$B$4*$D$4*AVERAGE(Q4:Q7)</f>
        <v>0.23333333333333331</v>
      </c>
    </row>
    <row r="5" spans="1:18" x14ac:dyDescent="0.3">
      <c r="A5" s="185"/>
      <c r="B5" s="148"/>
      <c r="C5" s="172"/>
      <c r="D5" s="175"/>
      <c r="E5" s="13" t="s">
        <v>59</v>
      </c>
      <c r="F5" s="27" t="str">
        <f>LOOKUP(G5,RANGOS!$A$2:$B$6)</f>
        <v xml:space="preserve">Alta </v>
      </c>
      <c r="G5" s="47">
        <v>4</v>
      </c>
      <c r="H5" s="27" t="str">
        <f>LOOKUP(I5,RANGOS!$A$9:$B$13)</f>
        <v>Medio</v>
      </c>
      <c r="I5" s="51">
        <f>'Data cliente'!G7</f>
        <v>3</v>
      </c>
      <c r="J5" s="27" t="str">
        <f>LOOKUP(K5,RANGOS!$F$2:$G$26)</f>
        <v xml:space="preserve">ALTO </v>
      </c>
      <c r="K5" s="27">
        <f t="shared" ref="K5:K22" si="0">G5*I5</f>
        <v>12</v>
      </c>
      <c r="L5" s="166"/>
      <c r="M5" s="160"/>
      <c r="N5" s="179"/>
      <c r="O5" s="196"/>
      <c r="P5" s="28" t="str">
        <f>LOOKUP(Q5,RANGOS!$F$2:$G$26)</f>
        <v>BAJO</v>
      </c>
      <c r="Q5" s="28">
        <f>K5/$O$4</f>
        <v>4</v>
      </c>
      <c r="R5" s="166"/>
    </row>
    <row r="6" spans="1:18" x14ac:dyDescent="0.3">
      <c r="A6" s="185"/>
      <c r="B6" s="148"/>
      <c r="C6" s="172"/>
      <c r="D6" s="175"/>
      <c r="E6" s="13" t="s">
        <v>60</v>
      </c>
      <c r="F6" s="27" t="str">
        <f>LOOKUP(G6,RANGOS!$A$2:$B$6)</f>
        <v xml:space="preserve">Alta </v>
      </c>
      <c r="G6" s="47">
        <v>4</v>
      </c>
      <c r="H6" s="27" t="str">
        <f>LOOKUP(I6,RANGOS!$A$9:$B$13)</f>
        <v>Medio</v>
      </c>
      <c r="I6" s="51">
        <f>'Data cliente'!G8</f>
        <v>3</v>
      </c>
      <c r="J6" s="27" t="str">
        <f>LOOKUP(K6,RANGOS!$F$2:$G$26)</f>
        <v xml:space="preserve">ALTO </v>
      </c>
      <c r="K6" s="27">
        <f t="shared" si="0"/>
        <v>12</v>
      </c>
      <c r="L6" s="166"/>
      <c r="M6" s="160"/>
      <c r="N6" s="179"/>
      <c r="O6" s="196"/>
      <c r="P6" s="28" t="str">
        <f>LOOKUP(Q6,RANGOS!$F$2:$G$26)</f>
        <v>BAJO</v>
      </c>
      <c r="Q6" s="28">
        <f>K6/$O$4</f>
        <v>4</v>
      </c>
      <c r="R6" s="166"/>
    </row>
    <row r="7" spans="1:18" x14ac:dyDescent="0.3">
      <c r="A7" s="185"/>
      <c r="B7" s="148"/>
      <c r="C7" s="173"/>
      <c r="D7" s="176"/>
      <c r="E7" s="14" t="s">
        <v>61</v>
      </c>
      <c r="F7" s="96" t="str">
        <f>LOOKUP(G7,RANGOS!$A$2:$B$6)</f>
        <v xml:space="preserve">Baja </v>
      </c>
      <c r="G7" s="48">
        <v>2</v>
      </c>
      <c r="H7" s="96" t="str">
        <f>LOOKUP(I7,RANGOS!$A$9:$B$13)</f>
        <v>Medio</v>
      </c>
      <c r="I7" s="56">
        <f>'Data cliente'!G9</f>
        <v>3</v>
      </c>
      <c r="J7" s="96" t="str">
        <f>LOOKUP(K7,RANGOS!$F$2:$G$26)</f>
        <v xml:space="preserve">MEDIO </v>
      </c>
      <c r="K7" s="96">
        <f t="shared" si="0"/>
        <v>6</v>
      </c>
      <c r="L7" s="167"/>
      <c r="M7" s="161"/>
      <c r="N7" s="180"/>
      <c r="O7" s="197"/>
      <c r="P7" s="40" t="str">
        <f>LOOKUP(Q7,RANGOS!$F$2:$G$26)</f>
        <v>BAJO</v>
      </c>
      <c r="Q7" s="40">
        <f>K7/$O$4</f>
        <v>2</v>
      </c>
      <c r="R7" s="167"/>
    </row>
    <row r="8" spans="1:18" x14ac:dyDescent="0.3">
      <c r="A8" s="185"/>
      <c r="B8" s="148"/>
      <c r="C8" s="172" t="s">
        <v>37</v>
      </c>
      <c r="D8" s="175">
        <v>0.05</v>
      </c>
      <c r="E8" s="26" t="s">
        <v>123</v>
      </c>
      <c r="F8" s="27" t="str">
        <f>LOOKUP(G8,RANGOS!$A$2:$B$6)</f>
        <v>Media</v>
      </c>
      <c r="G8" s="47">
        <v>3</v>
      </c>
      <c r="H8" s="27" t="str">
        <f>LOOKUP(I8,RANGOS!$A$9:$B$13)</f>
        <v>Alto</v>
      </c>
      <c r="I8" s="51">
        <f>'Data cliente'!G10</f>
        <v>4</v>
      </c>
      <c r="J8" s="27" t="str">
        <f>LOOKUP(K8,RANGOS!$F$2:$G$26)</f>
        <v xml:space="preserve">ALTO </v>
      </c>
      <c r="K8" s="27">
        <f t="shared" si="0"/>
        <v>12</v>
      </c>
      <c r="L8" s="166">
        <f>$B$4*$D$8*AVERAGE(K8:K10)</f>
        <v>0.32666666666666666</v>
      </c>
      <c r="M8" s="159" t="s">
        <v>213</v>
      </c>
      <c r="N8" s="179" t="str">
        <f>LOOKUP(O8,RANGOS!$A$16:$B$20)</f>
        <v xml:space="preserve">Muy alto </v>
      </c>
      <c r="O8" s="196">
        <v>5</v>
      </c>
      <c r="P8" s="28" t="str">
        <f>LOOKUP(Q8,RANGOS!$F$2:$G$26)</f>
        <v>BAJO</v>
      </c>
      <c r="Q8" s="28">
        <f>K8/$O$8</f>
        <v>2.4</v>
      </c>
      <c r="R8" s="166">
        <f>$B$4*$D$8*AVERAGE(Q8:Q10)</f>
        <v>6.5333333333333327E-2</v>
      </c>
    </row>
    <row r="9" spans="1:18" x14ac:dyDescent="0.3">
      <c r="A9" s="185"/>
      <c r="B9" s="148"/>
      <c r="C9" s="172"/>
      <c r="D9" s="175"/>
      <c r="E9" s="13" t="s">
        <v>62</v>
      </c>
      <c r="F9" s="27" t="str">
        <f>LOOKUP(G9,RANGOS!$A$2:$B$6)</f>
        <v>Media</v>
      </c>
      <c r="G9" s="47">
        <v>3</v>
      </c>
      <c r="H9" s="27" t="str">
        <f>LOOKUP(I9,RANGOS!$A$9:$B$13)</f>
        <v xml:space="preserve">Bajo </v>
      </c>
      <c r="I9" s="51">
        <f>'Data cliente'!G11</f>
        <v>2</v>
      </c>
      <c r="J9" s="27" t="str">
        <f>LOOKUP(K9,RANGOS!$F$2:$G$26)</f>
        <v xml:space="preserve">MEDIO </v>
      </c>
      <c r="K9" s="27">
        <f t="shared" si="0"/>
        <v>6</v>
      </c>
      <c r="L9" s="166"/>
      <c r="M9" s="160"/>
      <c r="N9" s="179"/>
      <c r="O9" s="196"/>
      <c r="P9" s="28" t="str">
        <f>LOOKUP(Q9,RANGOS!$F$2:$G$26)</f>
        <v xml:space="preserve">MUY BAJO </v>
      </c>
      <c r="Q9" s="28">
        <f>K9/$O$8</f>
        <v>1.2</v>
      </c>
      <c r="R9" s="166"/>
    </row>
    <row r="10" spans="1:18" x14ac:dyDescent="0.3">
      <c r="A10" s="185"/>
      <c r="B10" s="148"/>
      <c r="C10" s="172"/>
      <c r="D10" s="175"/>
      <c r="E10" s="14" t="s">
        <v>63</v>
      </c>
      <c r="F10" s="96" t="str">
        <f>LOOKUP(G10,RANGOS!$A$2:$B$6)</f>
        <v xml:space="preserve">Muy alta </v>
      </c>
      <c r="G10" s="48">
        <v>5</v>
      </c>
      <c r="H10" s="96" t="str">
        <f>LOOKUP(I10,RANGOS!$A$9:$B$13)</f>
        <v xml:space="preserve">Bajo </v>
      </c>
      <c r="I10" s="56">
        <f>'Data cliente'!G12</f>
        <v>2</v>
      </c>
      <c r="J10" s="96" t="str">
        <f>LOOKUP(K10,RANGOS!$F$2:$G$26)</f>
        <v xml:space="preserve">MEDIO </v>
      </c>
      <c r="K10" s="96">
        <f t="shared" si="0"/>
        <v>10</v>
      </c>
      <c r="L10" s="166"/>
      <c r="M10" s="161"/>
      <c r="N10" s="179"/>
      <c r="O10" s="196"/>
      <c r="P10" s="28" t="str">
        <f>LOOKUP(Q10,RANGOS!$F$2:$G$26)</f>
        <v>BAJO</v>
      </c>
      <c r="Q10" s="28">
        <f>K10/$O$8</f>
        <v>2</v>
      </c>
      <c r="R10" s="166"/>
    </row>
    <row r="11" spans="1:18" x14ac:dyDescent="0.3">
      <c r="A11" s="185"/>
      <c r="B11" s="148"/>
      <c r="C11" s="177" t="s">
        <v>38</v>
      </c>
      <c r="D11" s="174">
        <v>0.15</v>
      </c>
      <c r="E11" s="26" t="s">
        <v>151</v>
      </c>
      <c r="F11" s="95" t="str">
        <f>LOOKUP(G11,RANGOS!$A$2:$B$6)</f>
        <v xml:space="preserve">Muy alta </v>
      </c>
      <c r="G11" s="49">
        <v>5</v>
      </c>
      <c r="H11" s="95" t="str">
        <f>LOOKUP(I11,RANGOS!$A$9:$B$13)</f>
        <v xml:space="preserve">Bajo </v>
      </c>
      <c r="I11" s="51">
        <f>'Data cliente'!G13</f>
        <v>2</v>
      </c>
      <c r="J11" s="95" t="str">
        <f>LOOKUP(K11,RANGOS!$F$2:$G$26)</f>
        <v xml:space="preserve">MEDIO </v>
      </c>
      <c r="K11" s="95">
        <f t="shared" si="0"/>
        <v>10</v>
      </c>
      <c r="L11" s="168">
        <f>$B$4*$D$11*AVERAGE(K11:K14)</f>
        <v>0.86624999999999996</v>
      </c>
      <c r="M11" s="157" t="s">
        <v>213</v>
      </c>
      <c r="N11" s="178" t="str">
        <f>LOOKUP(O11,RANGOS!$A$16:$B$20)</f>
        <v xml:space="preserve">Muy alto </v>
      </c>
      <c r="O11" s="195">
        <v>5</v>
      </c>
      <c r="P11" s="39" t="str">
        <f>LOOKUP(Q11,RANGOS!$F$2:$G$26)</f>
        <v>BAJO</v>
      </c>
      <c r="Q11" s="39">
        <f>K11/$O$11</f>
        <v>2</v>
      </c>
      <c r="R11" s="168">
        <f>$B$4*$D$11*AVERAGE(Q11:Q14)</f>
        <v>0.17325000000000002</v>
      </c>
    </row>
    <row r="12" spans="1:18" x14ac:dyDescent="0.3">
      <c r="A12" s="185"/>
      <c r="B12" s="148"/>
      <c r="C12" s="172"/>
      <c r="D12" s="175"/>
      <c r="E12" s="13" t="s">
        <v>64</v>
      </c>
      <c r="F12" s="27" t="str">
        <f>LOOKUP(G12,RANGOS!$A$2:$B$6)</f>
        <v xml:space="preserve">Alta </v>
      </c>
      <c r="G12" s="47">
        <v>4</v>
      </c>
      <c r="H12" s="27" t="str">
        <f>LOOKUP(I12,RANGOS!$A$9:$B$13)</f>
        <v xml:space="preserve">Bajo </v>
      </c>
      <c r="I12" s="51">
        <f>'Data cliente'!G14</f>
        <v>2</v>
      </c>
      <c r="J12" s="27" t="str">
        <f>LOOKUP(K12,RANGOS!$F$2:$G$26)</f>
        <v xml:space="preserve">MEDIO </v>
      </c>
      <c r="K12" s="27">
        <f t="shared" si="0"/>
        <v>8</v>
      </c>
      <c r="L12" s="166"/>
      <c r="M12" s="146"/>
      <c r="N12" s="179"/>
      <c r="O12" s="196"/>
      <c r="P12" s="28" t="str">
        <f>LOOKUP(Q12,RANGOS!$F$2:$G$26)</f>
        <v xml:space="preserve">MUY BAJO </v>
      </c>
      <c r="Q12" s="28">
        <f>K12/$O$11</f>
        <v>1.6</v>
      </c>
      <c r="R12" s="166"/>
    </row>
    <row r="13" spans="1:18" x14ac:dyDescent="0.3">
      <c r="A13" s="185"/>
      <c r="B13" s="148"/>
      <c r="C13" s="172"/>
      <c r="D13" s="175"/>
      <c r="E13" s="13" t="s">
        <v>65</v>
      </c>
      <c r="F13" s="27" t="str">
        <f>LOOKUP(G13,RANGOS!$A$2:$B$6)</f>
        <v>Media</v>
      </c>
      <c r="G13" s="47">
        <v>3</v>
      </c>
      <c r="H13" s="27" t="str">
        <f>LOOKUP(I13,RANGOS!$A$9:$B$13)</f>
        <v>Medio</v>
      </c>
      <c r="I13" s="51">
        <f>'Data cliente'!G15</f>
        <v>3</v>
      </c>
      <c r="J13" s="27" t="str">
        <f>LOOKUP(K13,RANGOS!$F$2:$G$26)</f>
        <v xml:space="preserve">MEDIO </v>
      </c>
      <c r="K13" s="27">
        <f t="shared" si="0"/>
        <v>9</v>
      </c>
      <c r="L13" s="166"/>
      <c r="M13" s="146"/>
      <c r="N13" s="179"/>
      <c r="O13" s="196"/>
      <c r="P13" s="28" t="str">
        <f>LOOKUP(Q13,RANGOS!$F$2:$G$26)</f>
        <v xml:space="preserve">MUY BAJO </v>
      </c>
      <c r="Q13" s="28">
        <f>K13/$O$11</f>
        <v>1.8</v>
      </c>
      <c r="R13" s="166"/>
    </row>
    <row r="14" spans="1:18" x14ac:dyDescent="0.3">
      <c r="A14" s="185"/>
      <c r="B14" s="148"/>
      <c r="C14" s="173"/>
      <c r="D14" s="176"/>
      <c r="E14" s="14" t="s">
        <v>197</v>
      </c>
      <c r="F14" s="96" t="str">
        <f>LOOKUP(G14,RANGOS!$A$2:$B$6)</f>
        <v xml:space="preserve">Baja </v>
      </c>
      <c r="G14" s="48">
        <v>2</v>
      </c>
      <c r="H14" s="96" t="str">
        <f>LOOKUP(I14,RANGOS!$A$9:$B$13)</f>
        <v>Medio</v>
      </c>
      <c r="I14" s="56">
        <f>'Data cliente'!G16</f>
        <v>3</v>
      </c>
      <c r="J14" s="96" t="str">
        <f>LOOKUP(K14,RANGOS!$F$2:$G$26)</f>
        <v xml:space="preserve">MEDIO </v>
      </c>
      <c r="K14" s="96">
        <f t="shared" ref="K14" si="1">G14*I14</f>
        <v>6</v>
      </c>
      <c r="L14" s="167"/>
      <c r="M14" s="158"/>
      <c r="N14" s="180"/>
      <c r="O14" s="197"/>
      <c r="P14" s="40" t="str">
        <f>LOOKUP(Q14,RANGOS!$F$2:$G$26)</f>
        <v xml:space="preserve">MUY BAJO </v>
      </c>
      <c r="Q14" s="40">
        <f>K14/$O$11</f>
        <v>1.2</v>
      </c>
      <c r="R14" s="167"/>
    </row>
    <row r="15" spans="1:18" x14ac:dyDescent="0.3">
      <c r="A15" s="185"/>
      <c r="B15" s="148"/>
      <c r="C15" s="172" t="s">
        <v>39</v>
      </c>
      <c r="D15" s="175">
        <v>0.15</v>
      </c>
      <c r="E15" s="26" t="s">
        <v>66</v>
      </c>
      <c r="F15" s="27" t="str">
        <f>LOOKUP(G15,RANGOS!$A$2:$B$6)</f>
        <v xml:space="preserve">Baja </v>
      </c>
      <c r="G15" s="47">
        <v>2</v>
      </c>
      <c r="H15" s="27" t="str">
        <f>LOOKUP(I15,RANGOS!$A$9:$B$13)</f>
        <v xml:space="preserve">Bajo </v>
      </c>
      <c r="I15" s="51">
        <f>'Data cliente'!G17</f>
        <v>2</v>
      </c>
      <c r="J15" s="27" t="str">
        <f>LOOKUP(K15,RANGOS!$F$2:$G$26)</f>
        <v>BAJO</v>
      </c>
      <c r="K15" s="27">
        <f t="shared" si="0"/>
        <v>4</v>
      </c>
      <c r="L15" s="166">
        <f>$B$4*$D$8*AVERAGE(K15:K18)</f>
        <v>0.35</v>
      </c>
      <c r="M15" s="155"/>
      <c r="N15" s="178" t="str">
        <f>LOOKUP(O15,RANGOS!$A$16:$B$20)</f>
        <v>Alto</v>
      </c>
      <c r="O15" s="195">
        <v>4</v>
      </c>
      <c r="P15" s="39" t="str">
        <f>LOOKUP(Q15,RANGOS!$F$2:$G$26)</f>
        <v xml:space="preserve">MUY BAJO </v>
      </c>
      <c r="Q15" s="39">
        <f>K15/$O$15</f>
        <v>1</v>
      </c>
      <c r="R15" s="166">
        <f>$B$4*$D$15*AVERAGE(Q15:Q18)</f>
        <v>0.26250000000000001</v>
      </c>
    </row>
    <row r="16" spans="1:18" x14ac:dyDescent="0.3">
      <c r="A16" s="185"/>
      <c r="B16" s="148"/>
      <c r="C16" s="172"/>
      <c r="D16" s="175"/>
      <c r="E16" s="13" t="s">
        <v>67</v>
      </c>
      <c r="F16" s="27" t="str">
        <f>LOOKUP(G16,RANGOS!$A$2:$B$6)</f>
        <v>Media</v>
      </c>
      <c r="G16" s="47">
        <v>3</v>
      </c>
      <c r="H16" s="27" t="str">
        <f>LOOKUP(I16,RANGOS!$A$9:$B$13)</f>
        <v>Medio</v>
      </c>
      <c r="I16" s="51">
        <f>'Data cliente'!G18</f>
        <v>3</v>
      </c>
      <c r="J16" s="27" t="str">
        <f>LOOKUP(K16,RANGOS!$F$2:$G$26)</f>
        <v xml:space="preserve">MEDIO </v>
      </c>
      <c r="K16" s="27">
        <f t="shared" si="0"/>
        <v>9</v>
      </c>
      <c r="L16" s="166"/>
      <c r="M16" s="154"/>
      <c r="N16" s="179"/>
      <c r="O16" s="196"/>
      <c r="P16" s="28" t="str">
        <f>LOOKUP(Q16,RANGOS!$F$2:$G$26)</f>
        <v>BAJO</v>
      </c>
      <c r="Q16" s="28">
        <f>K16/$O$15</f>
        <v>2.25</v>
      </c>
      <c r="R16" s="166"/>
    </row>
    <row r="17" spans="1:18" x14ac:dyDescent="0.3">
      <c r="A17" s="185"/>
      <c r="B17" s="148"/>
      <c r="C17" s="172"/>
      <c r="D17" s="175"/>
      <c r="E17" s="13" t="s">
        <v>68</v>
      </c>
      <c r="F17" s="27" t="str">
        <f>LOOKUP(G17,RANGOS!$A$2:$B$6)</f>
        <v xml:space="preserve">Alta </v>
      </c>
      <c r="G17" s="47">
        <v>4</v>
      </c>
      <c r="H17" s="27" t="str">
        <f>LOOKUP(I17,RANGOS!$A$9:$B$13)</f>
        <v>Medio</v>
      </c>
      <c r="I17" s="51">
        <f>'Data cliente'!G19</f>
        <v>3</v>
      </c>
      <c r="J17" s="27" t="str">
        <f>LOOKUP(K17,RANGOS!$F$2:$G$26)</f>
        <v xml:space="preserve">ALTO </v>
      </c>
      <c r="K17" s="27">
        <f t="shared" si="0"/>
        <v>12</v>
      </c>
      <c r="L17" s="166"/>
      <c r="M17" s="154"/>
      <c r="N17" s="179"/>
      <c r="O17" s="196"/>
      <c r="P17" s="28" t="str">
        <f>LOOKUP(Q17,RANGOS!$F$2:$G$26)</f>
        <v>BAJO</v>
      </c>
      <c r="Q17" s="28">
        <f>K17/$O$15</f>
        <v>3</v>
      </c>
      <c r="R17" s="166"/>
    </row>
    <row r="18" spans="1:18" x14ac:dyDescent="0.3">
      <c r="A18" s="185"/>
      <c r="B18" s="148"/>
      <c r="C18" s="173"/>
      <c r="D18" s="176"/>
      <c r="E18" s="14" t="s">
        <v>69</v>
      </c>
      <c r="F18" s="96" t="str">
        <f>LOOKUP(G18,RANGOS!$A$2:$B$6)</f>
        <v xml:space="preserve">Muy alta </v>
      </c>
      <c r="G18" s="48">
        <v>5</v>
      </c>
      <c r="H18" s="96" t="str">
        <f>LOOKUP(I18,RANGOS!$A$9:$B$13)</f>
        <v>Medio</v>
      </c>
      <c r="I18" s="56">
        <f>'Data cliente'!G20</f>
        <v>3</v>
      </c>
      <c r="J18" s="96" t="str">
        <f>LOOKUP(K18,RANGOS!$F$2:$G$26)</f>
        <v xml:space="preserve">ALTO </v>
      </c>
      <c r="K18" s="96">
        <f t="shared" si="0"/>
        <v>15</v>
      </c>
      <c r="L18" s="167"/>
      <c r="M18" s="156"/>
      <c r="N18" s="180"/>
      <c r="O18" s="197"/>
      <c r="P18" s="40" t="str">
        <f>LOOKUP(Q18,RANGOS!$F$2:$G$26)</f>
        <v>BAJO</v>
      </c>
      <c r="Q18" s="40">
        <f>K18/$O$15</f>
        <v>3.75</v>
      </c>
      <c r="R18" s="167"/>
    </row>
    <row r="19" spans="1:18" x14ac:dyDescent="0.3">
      <c r="A19" s="185"/>
      <c r="B19" s="148"/>
      <c r="C19" s="172" t="s">
        <v>44</v>
      </c>
      <c r="D19" s="174">
        <v>0.05</v>
      </c>
      <c r="E19" s="19" t="s">
        <v>40</v>
      </c>
      <c r="F19" s="27" t="str">
        <f>LOOKUP(G19,RANGOS!$A$2:$B$6)</f>
        <v xml:space="preserve">Baja </v>
      </c>
      <c r="G19" s="47">
        <v>2</v>
      </c>
      <c r="H19" s="27" t="str">
        <f>LOOKUP(I19,RANGOS!$A$9:$B$13)</f>
        <v>Alto</v>
      </c>
      <c r="I19" s="51">
        <f>'Data cliente'!G21</f>
        <v>4</v>
      </c>
      <c r="J19" s="27" t="str">
        <f>LOOKUP(K19,RANGOS!$F$2:$G$26)</f>
        <v xml:space="preserve">MEDIO </v>
      </c>
      <c r="K19" s="27">
        <f t="shared" si="0"/>
        <v>8</v>
      </c>
      <c r="L19" s="168">
        <f>$B$4*$D$19*AVERAGE(K19:K22)</f>
        <v>0.27999999999999997</v>
      </c>
      <c r="M19" s="157" t="s">
        <v>214</v>
      </c>
      <c r="N19" s="178" t="str">
        <f>LOOKUP(O19,RANGOS!$A$16:$B$20)</f>
        <v xml:space="preserve">Muy bajo </v>
      </c>
      <c r="O19" s="195">
        <v>1</v>
      </c>
      <c r="P19" s="39" t="str">
        <f>LOOKUP(Q19,RANGOS!$F$2:$G$26)</f>
        <v xml:space="preserve">MEDIO </v>
      </c>
      <c r="Q19" s="39">
        <f>K19/$O$19</f>
        <v>8</v>
      </c>
      <c r="R19" s="168">
        <f>$B$4*$D$19*AVERAGE(Q19:Q22)</f>
        <v>0.27999999999999997</v>
      </c>
    </row>
    <row r="20" spans="1:18" x14ac:dyDescent="0.3">
      <c r="A20" s="185"/>
      <c r="B20" s="148"/>
      <c r="C20" s="172"/>
      <c r="D20" s="175"/>
      <c r="E20" s="15" t="s">
        <v>41</v>
      </c>
      <c r="F20" s="27" t="str">
        <f>LOOKUP(G20,RANGOS!$A$2:$B$6)</f>
        <v>Media</v>
      </c>
      <c r="G20" s="47">
        <v>3</v>
      </c>
      <c r="H20" s="27" t="str">
        <f>LOOKUP(I20,RANGOS!$A$9:$B$13)</f>
        <v xml:space="preserve">Bajo </v>
      </c>
      <c r="I20" s="51">
        <f>'Data cliente'!G22</f>
        <v>2</v>
      </c>
      <c r="J20" s="27" t="str">
        <f>LOOKUP(K20,RANGOS!$F$2:$G$26)</f>
        <v xml:space="preserve">MEDIO </v>
      </c>
      <c r="K20" s="27">
        <f t="shared" si="0"/>
        <v>6</v>
      </c>
      <c r="L20" s="166"/>
      <c r="M20" s="146"/>
      <c r="N20" s="179"/>
      <c r="O20" s="196"/>
      <c r="P20" s="28" t="str">
        <f>LOOKUP(Q20,RANGOS!$F$2:$G$26)</f>
        <v xml:space="preserve">MEDIO </v>
      </c>
      <c r="Q20" s="28">
        <f>K20/$O$19</f>
        <v>6</v>
      </c>
      <c r="R20" s="166"/>
    </row>
    <row r="21" spans="1:18" x14ac:dyDescent="0.3">
      <c r="A21" s="185"/>
      <c r="B21" s="148"/>
      <c r="C21" s="172"/>
      <c r="D21" s="175"/>
      <c r="E21" s="15" t="s">
        <v>42</v>
      </c>
      <c r="F21" s="27" t="str">
        <f>LOOKUP(G21,RANGOS!$A$2:$B$6)</f>
        <v xml:space="preserve">Alta </v>
      </c>
      <c r="G21" s="47">
        <v>4</v>
      </c>
      <c r="H21" s="27" t="str">
        <f>LOOKUP(I21,RANGOS!$A$9:$B$13)</f>
        <v xml:space="preserve">Bajo </v>
      </c>
      <c r="I21" s="51">
        <f>'Data cliente'!G23</f>
        <v>2</v>
      </c>
      <c r="J21" s="27" t="str">
        <f>LOOKUP(K21,RANGOS!$F$2:$G$26)</f>
        <v xml:space="preserve">MEDIO </v>
      </c>
      <c r="K21" s="27">
        <f t="shared" si="0"/>
        <v>8</v>
      </c>
      <c r="L21" s="166"/>
      <c r="M21" s="146"/>
      <c r="N21" s="179"/>
      <c r="O21" s="196"/>
      <c r="P21" s="28" t="str">
        <f>LOOKUP(Q21,RANGOS!$F$2:$G$26)</f>
        <v xml:space="preserve">MEDIO </v>
      </c>
      <c r="Q21" s="28">
        <f>K21/$O$19</f>
        <v>8</v>
      </c>
      <c r="R21" s="166"/>
    </row>
    <row r="22" spans="1:18" x14ac:dyDescent="0.3">
      <c r="A22" s="185"/>
      <c r="B22" s="148"/>
      <c r="C22" s="173"/>
      <c r="D22" s="176"/>
      <c r="E22" s="16" t="s">
        <v>43</v>
      </c>
      <c r="F22" s="96" t="str">
        <f>LOOKUP(G22,RANGOS!$A$2:$B$6)</f>
        <v xml:space="preserve">Muy alta </v>
      </c>
      <c r="G22" s="48">
        <v>5</v>
      </c>
      <c r="H22" s="96" t="str">
        <f>LOOKUP(I22,RANGOS!$A$9:$B$13)</f>
        <v xml:space="preserve">Bajo </v>
      </c>
      <c r="I22" s="56">
        <f>'Data cliente'!G24</f>
        <v>2</v>
      </c>
      <c r="J22" s="96" t="str">
        <f>LOOKUP(K22,RANGOS!$F$2:$G$26)</f>
        <v xml:space="preserve">MEDIO </v>
      </c>
      <c r="K22" s="96">
        <f t="shared" si="0"/>
        <v>10</v>
      </c>
      <c r="L22" s="167"/>
      <c r="M22" s="158"/>
      <c r="N22" s="180"/>
      <c r="O22" s="197"/>
      <c r="P22" s="40" t="str">
        <f>LOOKUP(Q22,RANGOS!$F$2:$G$26)</f>
        <v xml:space="preserve">MEDIO </v>
      </c>
      <c r="Q22" s="40">
        <f>K22/$O$19</f>
        <v>10</v>
      </c>
      <c r="R22" s="167"/>
    </row>
    <row r="23" spans="1:18" x14ac:dyDescent="0.3">
      <c r="A23" s="185"/>
      <c r="B23" s="148"/>
      <c r="C23" s="177" t="s">
        <v>45</v>
      </c>
      <c r="D23" s="174">
        <v>0.15</v>
      </c>
      <c r="E23" s="13" t="s">
        <v>46</v>
      </c>
      <c r="F23" s="27" t="str">
        <f>LOOKUP(G23,RANGOS!$A$2:$B$6)</f>
        <v xml:space="preserve">Alta </v>
      </c>
      <c r="G23" s="47">
        <v>4</v>
      </c>
      <c r="H23" s="27" t="str">
        <f>LOOKUP(I23,RANGOS!$A$9:$B$13)</f>
        <v xml:space="preserve">Bajo </v>
      </c>
      <c r="I23" s="51">
        <f>'Data cliente'!G25</f>
        <v>2</v>
      </c>
      <c r="J23" s="27" t="str">
        <f>LOOKUP(K23,RANGOS!$F$2:$G$26)</f>
        <v xml:space="preserve">MEDIO </v>
      </c>
      <c r="K23" s="27">
        <f t="shared" ref="K23:K28" si="2">G23*I23</f>
        <v>8</v>
      </c>
      <c r="L23" s="168">
        <f>$B$4*$D$23*AVERAGE(K23:K25)</f>
        <v>1.2249999999999999</v>
      </c>
      <c r="M23" s="157" t="s">
        <v>216</v>
      </c>
      <c r="N23" s="178" t="str">
        <f>LOOKUP(O23,RANGOS!$A$16:$B$20)</f>
        <v xml:space="preserve">Muy alto </v>
      </c>
      <c r="O23" s="195">
        <v>5</v>
      </c>
      <c r="P23" s="39" t="str">
        <f>LOOKUP(Q23,RANGOS!$F$2:$G$26)</f>
        <v xml:space="preserve">MUY BAJO </v>
      </c>
      <c r="Q23" s="39">
        <f>K23/$O$23</f>
        <v>1.6</v>
      </c>
      <c r="R23" s="168">
        <f>$B$4*$D$23*AVERAGE(Q23:Q25)</f>
        <v>0.245</v>
      </c>
    </row>
    <row r="24" spans="1:18" x14ac:dyDescent="0.3">
      <c r="A24" s="185"/>
      <c r="B24" s="148"/>
      <c r="C24" s="172"/>
      <c r="D24" s="175"/>
      <c r="E24" s="13" t="s">
        <v>47</v>
      </c>
      <c r="F24" s="27" t="str">
        <f>LOOKUP(G24,RANGOS!$A$2:$B$6)</f>
        <v xml:space="preserve">Muy alta </v>
      </c>
      <c r="G24" s="47">
        <v>5</v>
      </c>
      <c r="H24" s="27" t="str">
        <f>LOOKUP(I24,RANGOS!$A$9:$B$13)</f>
        <v>Medio</v>
      </c>
      <c r="I24" s="51">
        <f>'Data cliente'!G26</f>
        <v>3</v>
      </c>
      <c r="J24" s="27" t="str">
        <f>LOOKUP(K24,RANGOS!$F$2:$G$26)</f>
        <v xml:space="preserve">ALTO </v>
      </c>
      <c r="K24" s="27">
        <f t="shared" si="2"/>
        <v>15</v>
      </c>
      <c r="L24" s="166"/>
      <c r="M24" s="146"/>
      <c r="N24" s="179"/>
      <c r="O24" s="196"/>
      <c r="P24" s="28" t="str">
        <f>LOOKUP(Q24,RANGOS!$F$2:$G$26)</f>
        <v>BAJO</v>
      </c>
      <c r="Q24" s="28">
        <f>K24/$O$23</f>
        <v>3</v>
      </c>
      <c r="R24" s="166"/>
    </row>
    <row r="25" spans="1:18" ht="18" customHeight="1" x14ac:dyDescent="0.3">
      <c r="A25" s="185"/>
      <c r="B25" s="148"/>
      <c r="C25" s="173"/>
      <c r="D25" s="175"/>
      <c r="E25" s="13" t="s">
        <v>48</v>
      </c>
      <c r="F25" s="96" t="str">
        <f>LOOKUP(G25,RANGOS!$A$2:$B$6)</f>
        <v>Media</v>
      </c>
      <c r="G25" s="48">
        <v>3</v>
      </c>
      <c r="H25" s="96" t="str">
        <f>LOOKUP(I25,RANGOS!$A$9:$B$13)</f>
        <v>Alto</v>
      </c>
      <c r="I25" s="56">
        <f>'Data cliente'!G27</f>
        <v>4</v>
      </c>
      <c r="J25" s="96" t="str">
        <f>LOOKUP(K25,RANGOS!$F$2:$G$26)</f>
        <v xml:space="preserve">ALTO </v>
      </c>
      <c r="K25" s="96">
        <f t="shared" si="2"/>
        <v>12</v>
      </c>
      <c r="L25" s="166"/>
      <c r="M25" s="158"/>
      <c r="N25" s="180"/>
      <c r="O25" s="197"/>
      <c r="P25" s="40" t="str">
        <f>LOOKUP(Q25,RANGOS!$F$2:$G$26)</f>
        <v>BAJO</v>
      </c>
      <c r="Q25" s="40">
        <f>K25/$O$23</f>
        <v>2.4</v>
      </c>
      <c r="R25" s="166"/>
    </row>
    <row r="26" spans="1:18" ht="14.4" customHeight="1" x14ac:dyDescent="0.3">
      <c r="A26" s="185"/>
      <c r="B26" s="148"/>
      <c r="C26" s="169" t="s">
        <v>175</v>
      </c>
      <c r="D26" s="174">
        <v>0.15</v>
      </c>
      <c r="E26" s="17" t="s">
        <v>176</v>
      </c>
      <c r="F26" s="27" t="str">
        <f>LOOKUP(G26,RANGOS!$A$2:$B$6)</f>
        <v xml:space="preserve">Muy alta </v>
      </c>
      <c r="G26" s="47">
        <v>5</v>
      </c>
      <c r="H26" s="27" t="str">
        <f>LOOKUP(I26,RANGOS!$A$9:$B$13)</f>
        <v>Alto</v>
      </c>
      <c r="I26" s="51">
        <f>'Data cliente'!G28</f>
        <v>4</v>
      </c>
      <c r="J26" s="27" t="str">
        <f>LOOKUP(K26,RANGOS!$F$2:$G$26)</f>
        <v xml:space="preserve">ALTO </v>
      </c>
      <c r="K26" s="27">
        <f t="shared" si="2"/>
        <v>20</v>
      </c>
      <c r="L26" s="168">
        <f>$B$4*$D$26*AVERAGE(K26:K28)</f>
        <v>1.1199999999999999</v>
      </c>
      <c r="M26" s="157" t="s">
        <v>215</v>
      </c>
      <c r="N26" s="178" t="str">
        <f>LOOKUP(O26,RANGOS!$A$16:$B$20)</f>
        <v xml:space="preserve">Muy alto </v>
      </c>
      <c r="O26" s="195">
        <v>5</v>
      </c>
      <c r="P26" s="39" t="str">
        <f>LOOKUP(Q26,RANGOS!$F$2:$G$26)</f>
        <v>BAJO</v>
      </c>
      <c r="Q26" s="39">
        <f>K26/$O$26</f>
        <v>4</v>
      </c>
      <c r="R26" s="168">
        <f>$B$4*$D$26*AVERAGE(Q26:Q28)</f>
        <v>0.22399999999999998</v>
      </c>
    </row>
    <row r="27" spans="1:18" ht="14.4" customHeight="1" x14ac:dyDescent="0.3">
      <c r="A27" s="185"/>
      <c r="B27" s="148"/>
      <c r="C27" s="170"/>
      <c r="D27" s="175"/>
      <c r="E27" s="18" t="s">
        <v>177</v>
      </c>
      <c r="F27" s="27" t="str">
        <f>LOOKUP(G27,RANGOS!$A$2:$B$6)</f>
        <v>Media</v>
      </c>
      <c r="G27" s="47">
        <v>3</v>
      </c>
      <c r="H27" s="27" t="str">
        <f>LOOKUP(I27,RANGOS!$A$9:$B$13)</f>
        <v>Medio</v>
      </c>
      <c r="I27" s="51">
        <f>'Data cliente'!G29</f>
        <v>3</v>
      </c>
      <c r="J27" s="27" t="str">
        <f>LOOKUP(K27,RANGOS!$F$2:$G$26)</f>
        <v xml:space="preserve">MEDIO </v>
      </c>
      <c r="K27" s="27">
        <f t="shared" si="2"/>
        <v>9</v>
      </c>
      <c r="L27" s="166"/>
      <c r="M27" s="146"/>
      <c r="N27" s="179"/>
      <c r="O27" s="196"/>
      <c r="P27" s="28" t="str">
        <f>LOOKUP(Q27,RANGOS!$F$2:$G$26)</f>
        <v xml:space="preserve">MUY BAJO </v>
      </c>
      <c r="Q27" s="28">
        <f>K27/$O$26</f>
        <v>1.8</v>
      </c>
      <c r="R27" s="166"/>
    </row>
    <row r="28" spans="1:18" x14ac:dyDescent="0.3">
      <c r="A28" s="185"/>
      <c r="B28" s="148"/>
      <c r="C28" s="171"/>
      <c r="D28" s="176"/>
      <c r="E28" s="54" t="s">
        <v>178</v>
      </c>
      <c r="F28" s="96" t="str">
        <f>LOOKUP(G28,RANGOS!$A$2:$B$6)</f>
        <v>Media</v>
      </c>
      <c r="G28" s="48">
        <v>3</v>
      </c>
      <c r="H28" s="96" t="str">
        <f>LOOKUP(I28,RANGOS!$A$9:$B$13)</f>
        <v xml:space="preserve">Muy bajo </v>
      </c>
      <c r="I28" s="56">
        <f>'Data cliente'!G30</f>
        <v>1</v>
      </c>
      <c r="J28" s="96" t="str">
        <f>LOOKUP(K28,RANGOS!$F$2:$G$26)</f>
        <v>BAJO</v>
      </c>
      <c r="K28" s="96">
        <f t="shared" si="2"/>
        <v>3</v>
      </c>
      <c r="L28" s="167"/>
      <c r="M28" s="158"/>
      <c r="N28" s="180"/>
      <c r="O28" s="197"/>
      <c r="P28" s="40" t="str">
        <f>LOOKUP(Q28,RANGOS!$F$2:$G$26)</f>
        <v xml:space="preserve">MUY BAJO </v>
      </c>
      <c r="Q28" s="40">
        <f>K28/$O$26</f>
        <v>0.6</v>
      </c>
      <c r="R28" s="167"/>
    </row>
    <row r="29" spans="1:18" x14ac:dyDescent="0.3">
      <c r="A29" s="185"/>
      <c r="B29" s="148"/>
      <c r="C29" s="177" t="s">
        <v>149</v>
      </c>
      <c r="D29" s="201">
        <v>0.05</v>
      </c>
      <c r="E29" s="15" t="s">
        <v>49</v>
      </c>
      <c r="F29" s="27" t="str">
        <f>LOOKUP(G29,RANGOS!$A$2:$B$6)</f>
        <v xml:space="preserve">Alta </v>
      </c>
      <c r="G29" s="47">
        <v>4</v>
      </c>
      <c r="H29" s="27" t="str">
        <f>LOOKUP(I29,RANGOS!$A$9:$B$13)</f>
        <v>Alto</v>
      </c>
      <c r="I29" s="51">
        <f>'Data cliente'!G31</f>
        <v>4</v>
      </c>
      <c r="J29" s="27" t="str">
        <f>LOOKUP(K29,RANGOS!$F$2:$G$26)</f>
        <v xml:space="preserve">ALTO </v>
      </c>
      <c r="K29" s="27">
        <f t="shared" ref="K29:K46" si="3">G29*I29</f>
        <v>16</v>
      </c>
      <c r="L29" s="181">
        <f>$B$4*$D$29*AVERAGE(K29:K31)</f>
        <v>0.38499999999999995</v>
      </c>
      <c r="M29" s="157" t="s">
        <v>214</v>
      </c>
      <c r="N29" s="159" t="str">
        <f>LOOKUP(O29,RANGOS!$A$16:$B$20)</f>
        <v xml:space="preserve">Muy alto </v>
      </c>
      <c r="O29" s="198">
        <v>5</v>
      </c>
      <c r="P29" s="39" t="str">
        <f>LOOKUP(Q29,RANGOS!$F$2:$G$26)</f>
        <v>BAJO</v>
      </c>
      <c r="Q29" s="39">
        <f>K29/$O$29</f>
        <v>3.2</v>
      </c>
      <c r="R29" s="181">
        <f>$B$4*$D$29*AVERAGE(Q29:Q31)</f>
        <v>7.6999999999999985E-2</v>
      </c>
    </row>
    <row r="30" spans="1:18" x14ac:dyDescent="0.3">
      <c r="A30" s="185"/>
      <c r="B30" s="148"/>
      <c r="C30" s="172"/>
      <c r="D30" s="202"/>
      <c r="E30" s="15" t="s">
        <v>50</v>
      </c>
      <c r="F30" s="27" t="str">
        <f>LOOKUP(G30,RANGOS!$A$2:$B$6)</f>
        <v xml:space="preserve">Muy alta </v>
      </c>
      <c r="G30" s="47">
        <v>5</v>
      </c>
      <c r="H30" s="27" t="str">
        <f>LOOKUP(I30,RANGOS!$A$9:$B$13)</f>
        <v xml:space="preserve">Muy bajo </v>
      </c>
      <c r="I30" s="51">
        <f>'Data cliente'!G32</f>
        <v>1</v>
      </c>
      <c r="J30" s="27" t="str">
        <f>LOOKUP(K30,RANGOS!$F$2:$G$26)</f>
        <v>BAJO</v>
      </c>
      <c r="K30" s="27">
        <f t="shared" si="3"/>
        <v>5</v>
      </c>
      <c r="L30" s="182"/>
      <c r="M30" s="146"/>
      <c r="N30" s="160"/>
      <c r="O30" s="199"/>
      <c r="P30" s="28" t="str">
        <f>LOOKUP(Q30,RANGOS!$F$2:$G$26)</f>
        <v xml:space="preserve">MUY BAJO </v>
      </c>
      <c r="Q30" s="28">
        <f>K30/$O$29</f>
        <v>1</v>
      </c>
      <c r="R30" s="182"/>
    </row>
    <row r="31" spans="1:18" x14ac:dyDescent="0.3">
      <c r="A31" s="185"/>
      <c r="B31" s="148"/>
      <c r="C31" s="173"/>
      <c r="D31" s="203"/>
      <c r="E31" s="15" t="s">
        <v>51</v>
      </c>
      <c r="F31" s="96" t="str">
        <f>LOOKUP(G31,RANGOS!$A$2:$B$6)</f>
        <v xml:space="preserve">Alta </v>
      </c>
      <c r="G31" s="48">
        <v>4</v>
      </c>
      <c r="H31" s="96" t="str">
        <f>LOOKUP(I31,RANGOS!$A$9:$B$13)</f>
        <v>Medio</v>
      </c>
      <c r="I31" s="56">
        <f>'Data cliente'!G33</f>
        <v>3</v>
      </c>
      <c r="J31" s="96" t="str">
        <f>LOOKUP(K31,RANGOS!$F$2:$G$26)</f>
        <v xml:space="preserve">ALTO </v>
      </c>
      <c r="K31" s="96">
        <f t="shared" si="3"/>
        <v>12</v>
      </c>
      <c r="L31" s="183"/>
      <c r="M31" s="158"/>
      <c r="N31" s="161"/>
      <c r="O31" s="200"/>
      <c r="P31" s="40" t="str">
        <f>LOOKUP(Q31,RANGOS!$F$2:$G$26)</f>
        <v>BAJO</v>
      </c>
      <c r="Q31" s="40">
        <f>K31/$O$29</f>
        <v>2.4</v>
      </c>
      <c r="R31" s="183"/>
    </row>
    <row r="32" spans="1:18" x14ac:dyDescent="0.3">
      <c r="A32" s="185"/>
      <c r="B32" s="148"/>
      <c r="C32" s="169" t="s">
        <v>150</v>
      </c>
      <c r="D32" s="188">
        <v>0.15</v>
      </c>
      <c r="E32" s="20" t="s">
        <v>53</v>
      </c>
      <c r="F32" s="27" t="str">
        <f>LOOKUP(G32,RANGOS!$A$2:$B$6)</f>
        <v xml:space="preserve">Alta </v>
      </c>
      <c r="G32" s="47">
        <v>4</v>
      </c>
      <c r="H32" s="27" t="str">
        <f>LOOKUP(I32,RANGOS!$A$9:$B$13)</f>
        <v>Medio</v>
      </c>
      <c r="I32" s="51">
        <f>'Data cliente'!G34</f>
        <v>3</v>
      </c>
      <c r="J32" s="27" t="str">
        <f>LOOKUP(K32,RANGOS!$F$2:$G$26)</f>
        <v xml:space="preserve">ALTO </v>
      </c>
      <c r="K32" s="27">
        <f t="shared" si="3"/>
        <v>12</v>
      </c>
      <c r="L32" s="165">
        <f>$B$4*$D$32*AVERAGE(K32:K36)</f>
        <v>1.05</v>
      </c>
      <c r="M32" s="157" t="s">
        <v>213</v>
      </c>
      <c r="N32" s="190" t="str">
        <f>LOOKUP(O32,RANGOS!$A$16:$B$20)</f>
        <v xml:space="preserve">Muy bajo </v>
      </c>
      <c r="O32" s="192">
        <v>1</v>
      </c>
      <c r="P32" s="39" t="str">
        <f>LOOKUP(Q32,RANGOS!$F$2:$G$26)</f>
        <v xml:space="preserve">ALTO </v>
      </c>
      <c r="Q32" s="39">
        <f>K32/$O$32</f>
        <v>12</v>
      </c>
      <c r="R32" s="165">
        <f>$B$4*$D$32*AVERAGE(Q32:Q36)</f>
        <v>1.05</v>
      </c>
    </row>
    <row r="33" spans="1:22" x14ac:dyDescent="0.3">
      <c r="A33" s="185"/>
      <c r="B33" s="148"/>
      <c r="C33" s="170"/>
      <c r="D33" s="148"/>
      <c r="E33" s="3" t="s">
        <v>54</v>
      </c>
      <c r="F33" s="27" t="str">
        <f>LOOKUP(G33,RANGOS!$A$2:$B$6)</f>
        <v xml:space="preserve">Muy alta </v>
      </c>
      <c r="G33" s="47">
        <v>5</v>
      </c>
      <c r="H33" s="27" t="str">
        <f>LOOKUP(I33,RANGOS!$A$9:$B$13)</f>
        <v xml:space="preserve">Bajo </v>
      </c>
      <c r="I33" s="51">
        <f>'Data cliente'!G35</f>
        <v>2</v>
      </c>
      <c r="J33" s="27" t="str">
        <f>LOOKUP(K33,RANGOS!$F$2:$G$26)</f>
        <v xml:space="preserve">MEDIO </v>
      </c>
      <c r="K33" s="27">
        <f t="shared" si="3"/>
        <v>10</v>
      </c>
      <c r="L33" s="163"/>
      <c r="M33" s="146"/>
      <c r="N33" s="149"/>
      <c r="O33" s="193"/>
      <c r="P33" s="28" t="str">
        <f>LOOKUP(Q33,RANGOS!$F$2:$G$26)</f>
        <v xml:space="preserve">MEDIO </v>
      </c>
      <c r="Q33" s="28">
        <f>K33/$O$32</f>
        <v>10</v>
      </c>
      <c r="R33" s="163"/>
      <c r="V33">
        <f>15*6</f>
        <v>90</v>
      </c>
    </row>
    <row r="34" spans="1:22" x14ac:dyDescent="0.3">
      <c r="A34" s="185"/>
      <c r="B34" s="148"/>
      <c r="C34" s="170"/>
      <c r="D34" s="148"/>
      <c r="E34" s="3" t="s">
        <v>195</v>
      </c>
      <c r="F34" s="27" t="str">
        <f>LOOKUP(G34,RANGOS!$A$2:$B$6)</f>
        <v xml:space="preserve">Muy alta </v>
      </c>
      <c r="G34" s="47">
        <v>5</v>
      </c>
      <c r="H34" s="27" t="str">
        <f>LOOKUP(I34,RANGOS!$A$9:$B$13)</f>
        <v xml:space="preserve">Bajo </v>
      </c>
      <c r="I34" s="51">
        <f>'Data cliente'!G36</f>
        <v>2</v>
      </c>
      <c r="J34" s="27" t="str">
        <f>LOOKUP(K34,RANGOS!$F$2:$G$26)</f>
        <v xml:space="preserve">MEDIO </v>
      </c>
      <c r="K34" s="27">
        <f t="shared" si="3"/>
        <v>10</v>
      </c>
      <c r="L34" s="163"/>
      <c r="M34" s="146"/>
      <c r="N34" s="149"/>
      <c r="O34" s="193"/>
      <c r="P34" s="28" t="str">
        <f>LOOKUP(Q34,RANGOS!$F$2:$G$26)</f>
        <v xml:space="preserve">MEDIO </v>
      </c>
      <c r="Q34" s="28">
        <f>K34/$O$32</f>
        <v>10</v>
      </c>
      <c r="R34" s="163"/>
    </row>
    <row r="35" spans="1:22" x14ac:dyDescent="0.3">
      <c r="A35" s="185"/>
      <c r="B35" s="148"/>
      <c r="C35" s="170"/>
      <c r="D35" s="148"/>
      <c r="E35" s="3" t="s">
        <v>196</v>
      </c>
      <c r="F35" s="27" t="str">
        <f>LOOKUP(G35,RANGOS!$A$2:$B$6)</f>
        <v xml:space="preserve">Muy alta </v>
      </c>
      <c r="G35" s="47">
        <v>5</v>
      </c>
      <c r="H35" s="27" t="str">
        <f>LOOKUP(I35,RANGOS!$A$9:$B$13)</f>
        <v xml:space="preserve">Bajo </v>
      </c>
      <c r="I35" s="51">
        <f>'Data cliente'!G37</f>
        <v>2</v>
      </c>
      <c r="J35" s="27" t="str">
        <f>LOOKUP(K35,RANGOS!$F$2:$G$26)</f>
        <v xml:space="preserve">MEDIO </v>
      </c>
      <c r="K35" s="27">
        <f t="shared" si="3"/>
        <v>10</v>
      </c>
      <c r="L35" s="163"/>
      <c r="M35" s="146"/>
      <c r="N35" s="149"/>
      <c r="O35" s="193"/>
      <c r="P35" s="28" t="str">
        <f>LOOKUP(Q35,RANGOS!$F$2:$G$26)</f>
        <v xml:space="preserve">MEDIO </v>
      </c>
      <c r="Q35" s="28">
        <f>K35/$O$32</f>
        <v>10</v>
      </c>
      <c r="R35" s="163"/>
    </row>
    <row r="36" spans="1:22" x14ac:dyDescent="0.3">
      <c r="A36" s="186"/>
      <c r="B36" s="187"/>
      <c r="C36" s="171"/>
      <c r="D36" s="187"/>
      <c r="E36" s="21" t="s">
        <v>99</v>
      </c>
      <c r="F36" s="96" t="str">
        <f>LOOKUP(G36,RANGOS!$A$2:$B$6)</f>
        <v xml:space="preserve">Alta </v>
      </c>
      <c r="G36" s="48">
        <v>4</v>
      </c>
      <c r="H36" s="96" t="str">
        <f>LOOKUP(I36,RANGOS!$A$9:$B$13)</f>
        <v xml:space="preserve">Bajo </v>
      </c>
      <c r="I36" s="56">
        <f>'Data cliente'!G39</f>
        <v>2</v>
      </c>
      <c r="J36" s="96" t="str">
        <f>LOOKUP(K36,RANGOS!$F$2:$G$26)</f>
        <v xml:space="preserve">MEDIO </v>
      </c>
      <c r="K36" s="96">
        <f t="shared" si="3"/>
        <v>8</v>
      </c>
      <c r="L36" s="164"/>
      <c r="M36" s="158"/>
      <c r="N36" s="191"/>
      <c r="O36" s="194"/>
      <c r="P36" s="40" t="str">
        <f>LOOKUP(Q36,RANGOS!$F$2:$G$26)</f>
        <v xml:space="preserve">MEDIO </v>
      </c>
      <c r="Q36" s="40">
        <f>K36/$O$32</f>
        <v>8</v>
      </c>
      <c r="R36" s="164"/>
    </row>
    <row r="37" spans="1:22" x14ac:dyDescent="0.3">
      <c r="A37" s="189" t="s">
        <v>148</v>
      </c>
      <c r="B37" s="188">
        <v>0.3</v>
      </c>
      <c r="C37" s="169" t="s">
        <v>198</v>
      </c>
      <c r="D37" s="188">
        <v>0.2</v>
      </c>
      <c r="E37" s="26" t="s">
        <v>207</v>
      </c>
      <c r="F37" s="95" t="str">
        <f>LOOKUP(G37,RANGOS!$A$2:$B$6)</f>
        <v xml:space="preserve">Muy baja </v>
      </c>
      <c r="G37" s="49">
        <v>1</v>
      </c>
      <c r="H37" s="95" t="str">
        <f>LOOKUP(I37,RANGOS!$A$9:$B$13)</f>
        <v xml:space="preserve">Muy bajo </v>
      </c>
      <c r="I37" s="55">
        <v>1</v>
      </c>
      <c r="J37" s="95" t="str">
        <f>LOOKUP(K37,RANGOS!$F$2:$G$26)</f>
        <v xml:space="preserve">MUY BAJO </v>
      </c>
      <c r="K37" s="95">
        <f t="shared" si="3"/>
        <v>1</v>
      </c>
      <c r="L37" s="165">
        <f>$B$37*$D$37*AVERAGE(K37:K38)</f>
        <v>0.06</v>
      </c>
      <c r="M37" s="155"/>
      <c r="N37" s="190" t="str">
        <f>LOOKUP(O37,RANGOS!$A$16:$B$20)</f>
        <v xml:space="preserve">Muy bajo </v>
      </c>
      <c r="O37" s="192">
        <v>1</v>
      </c>
      <c r="P37" s="39" t="str">
        <f>LOOKUP(Q37,RANGOS!$F$2:$G$26)</f>
        <v xml:space="preserve">MUY BAJO </v>
      </c>
      <c r="Q37" s="39">
        <f t="shared" ref="Q37:Q45" si="4">K37/$O$37</f>
        <v>1</v>
      </c>
      <c r="R37" s="165">
        <f>$B$37*$D$37*AVERAGE(Q37:Q38)</f>
        <v>0.06</v>
      </c>
    </row>
    <row r="38" spans="1:22" x14ac:dyDescent="0.3">
      <c r="A38" s="185"/>
      <c r="B38" s="148"/>
      <c r="C38" s="171"/>
      <c r="D38" s="187"/>
      <c r="E38" s="13" t="s">
        <v>208</v>
      </c>
      <c r="F38" s="96" t="str">
        <f>LOOKUP(G38,RANGOS!$A$2:$B$6)</f>
        <v xml:space="preserve">Muy baja </v>
      </c>
      <c r="G38" s="48">
        <v>1</v>
      </c>
      <c r="H38" s="96" t="str">
        <f>LOOKUP(I38,RANGOS!$A$9:$B$13)</f>
        <v xml:space="preserve">Muy bajo </v>
      </c>
      <c r="I38" s="56">
        <v>1</v>
      </c>
      <c r="J38" s="96" t="str">
        <f>LOOKUP(K38,RANGOS!$F$2:$G$26)</f>
        <v xml:space="preserve">MUY BAJO </v>
      </c>
      <c r="K38" s="96">
        <f t="shared" si="3"/>
        <v>1</v>
      </c>
      <c r="L38" s="164"/>
      <c r="M38" s="156"/>
      <c r="N38" s="149"/>
      <c r="O38" s="193"/>
      <c r="P38" s="40" t="str">
        <f>LOOKUP(Q38,RANGOS!$F$2:$G$26)</f>
        <v xml:space="preserve">MUY BAJO </v>
      </c>
      <c r="Q38" s="40">
        <f t="shared" si="4"/>
        <v>1</v>
      </c>
      <c r="R38" s="164"/>
    </row>
    <row r="39" spans="1:22" x14ac:dyDescent="0.3">
      <c r="A39" s="185"/>
      <c r="B39" s="148"/>
      <c r="C39" s="170" t="s">
        <v>199</v>
      </c>
      <c r="D39" s="148">
        <v>0.2</v>
      </c>
      <c r="E39" s="26" t="s">
        <v>209</v>
      </c>
      <c r="F39" s="27" t="str">
        <f>LOOKUP(G39,RANGOS!$A$2:$B$6)</f>
        <v xml:space="preserve">Muy baja </v>
      </c>
      <c r="G39" s="47">
        <v>1</v>
      </c>
      <c r="H39" s="27" t="str">
        <f>LOOKUP(I39,RANGOS!$A$9:$B$13)</f>
        <v xml:space="preserve">Muy bajo </v>
      </c>
      <c r="I39" s="51">
        <v>1</v>
      </c>
      <c r="J39" s="27" t="str">
        <f>LOOKUP(K39,RANGOS!$F$2:$G$26)</f>
        <v xml:space="preserve">MUY BAJO </v>
      </c>
      <c r="K39" s="27">
        <f t="shared" si="3"/>
        <v>1</v>
      </c>
      <c r="L39" s="163">
        <f>$B$37*$D$39*AVERAGE(K39:K40)</f>
        <v>0.06</v>
      </c>
      <c r="M39" s="155"/>
      <c r="N39" s="149"/>
      <c r="O39" s="193"/>
      <c r="P39" s="39" t="str">
        <f>LOOKUP(Q39,RANGOS!$F$2:$G$26)</f>
        <v xml:space="preserve">MUY BAJO </v>
      </c>
      <c r="Q39" s="39">
        <f t="shared" si="4"/>
        <v>1</v>
      </c>
      <c r="R39" s="163">
        <f>$B$37*$D$39*AVERAGE(Q39:Q40)</f>
        <v>0.06</v>
      </c>
    </row>
    <row r="40" spans="1:22" x14ac:dyDescent="0.3">
      <c r="A40" s="185"/>
      <c r="B40" s="148"/>
      <c r="C40" s="170"/>
      <c r="D40" s="148"/>
      <c r="E40" s="13" t="s">
        <v>210</v>
      </c>
      <c r="F40" s="27" t="str">
        <f>LOOKUP(G40,RANGOS!$A$2:$B$6)</f>
        <v xml:space="preserve">Muy baja </v>
      </c>
      <c r="G40" s="47">
        <v>1</v>
      </c>
      <c r="H40" s="27" t="str">
        <f>LOOKUP(I40,RANGOS!$A$9:$B$13)</f>
        <v xml:space="preserve">Muy bajo </v>
      </c>
      <c r="I40" s="51">
        <v>1</v>
      </c>
      <c r="J40" s="27" t="str">
        <f>LOOKUP(K40,RANGOS!$F$2:$G$26)</f>
        <v xml:space="preserve">MUY BAJO </v>
      </c>
      <c r="K40" s="27">
        <f t="shared" si="3"/>
        <v>1</v>
      </c>
      <c r="L40" s="163"/>
      <c r="M40" s="156"/>
      <c r="N40" s="149"/>
      <c r="O40" s="193"/>
      <c r="P40" s="40" t="str">
        <f>LOOKUP(Q40,RANGOS!$F$2:$G$26)</f>
        <v xml:space="preserve">MUY BAJO </v>
      </c>
      <c r="Q40" s="40">
        <f t="shared" si="4"/>
        <v>1</v>
      </c>
      <c r="R40" s="163"/>
    </row>
    <row r="41" spans="1:22" x14ac:dyDescent="0.3">
      <c r="A41" s="185"/>
      <c r="B41" s="148"/>
      <c r="C41" s="169" t="s">
        <v>200</v>
      </c>
      <c r="D41" s="188">
        <v>0.2</v>
      </c>
      <c r="E41" s="62" t="s">
        <v>201</v>
      </c>
      <c r="F41" s="95" t="str">
        <f>LOOKUP(G41,RANGOS!$A$2:$B$6)</f>
        <v xml:space="preserve">Muy baja </v>
      </c>
      <c r="G41" s="49">
        <v>1</v>
      </c>
      <c r="H41" s="95" t="str">
        <f>LOOKUP(I41,RANGOS!$A$9:$B$13)</f>
        <v xml:space="preserve">Muy bajo </v>
      </c>
      <c r="I41" s="55">
        <v>1</v>
      </c>
      <c r="J41" s="95" t="str">
        <f>LOOKUP(K41,RANGOS!$F$2:$G$26)</f>
        <v xml:space="preserve">MUY BAJO </v>
      </c>
      <c r="K41" s="95">
        <f t="shared" si="3"/>
        <v>1</v>
      </c>
      <c r="L41" s="165">
        <f>$B$37*$D$41*AVERAGE(K41:K42)</f>
        <v>0.06</v>
      </c>
      <c r="M41" s="155"/>
      <c r="N41" s="149"/>
      <c r="O41" s="193"/>
      <c r="P41" s="39" t="str">
        <f>LOOKUP(Q41,RANGOS!$F$2:$G$26)</f>
        <v xml:space="preserve">MUY BAJO </v>
      </c>
      <c r="Q41" s="39">
        <f t="shared" si="4"/>
        <v>1</v>
      </c>
      <c r="R41" s="165">
        <f>$B$37*$D$41*AVERAGE(Q41:Q42)</f>
        <v>0.06</v>
      </c>
    </row>
    <row r="42" spans="1:22" x14ac:dyDescent="0.3">
      <c r="A42" s="185"/>
      <c r="B42" s="148"/>
      <c r="C42" s="170"/>
      <c r="D42" s="148"/>
      <c r="E42" s="61" t="s">
        <v>202</v>
      </c>
      <c r="F42" s="27" t="str">
        <f>LOOKUP(G42,RANGOS!$A$2:$B$6)</f>
        <v xml:space="preserve">Muy baja </v>
      </c>
      <c r="G42" s="47">
        <v>1</v>
      </c>
      <c r="H42" s="27" t="str">
        <f>LOOKUP(I42,RANGOS!$A$9:$B$13)</f>
        <v xml:space="preserve">Muy bajo </v>
      </c>
      <c r="I42" s="51">
        <v>1</v>
      </c>
      <c r="J42" s="27" t="str">
        <f>LOOKUP(K42,RANGOS!$F$2:$G$26)</f>
        <v xml:space="preserve">MUY BAJO </v>
      </c>
      <c r="K42" s="27">
        <f t="shared" si="3"/>
        <v>1</v>
      </c>
      <c r="L42" s="163"/>
      <c r="M42" s="156"/>
      <c r="N42" s="149"/>
      <c r="O42" s="193"/>
      <c r="P42" s="40" t="str">
        <f>LOOKUP(Q42,RANGOS!$F$2:$G$26)</f>
        <v xml:space="preserve">MUY BAJO </v>
      </c>
      <c r="Q42" s="40">
        <f t="shared" si="4"/>
        <v>1</v>
      </c>
      <c r="R42" s="163"/>
    </row>
    <row r="43" spans="1:22" x14ac:dyDescent="0.3">
      <c r="A43" s="185"/>
      <c r="B43" s="148"/>
      <c r="C43" s="169" t="s">
        <v>203</v>
      </c>
      <c r="D43" s="188">
        <v>0.2</v>
      </c>
      <c r="E43" s="62" t="s">
        <v>204</v>
      </c>
      <c r="F43" s="95" t="str">
        <f>LOOKUP(G43,RANGOS!$A$2:$B$6)</f>
        <v xml:space="preserve">Muy baja </v>
      </c>
      <c r="G43" s="49">
        <v>1</v>
      </c>
      <c r="H43" s="95" t="str">
        <f>LOOKUP(I43,RANGOS!$A$9:$B$13)</f>
        <v xml:space="preserve">Muy bajo </v>
      </c>
      <c r="I43" s="55">
        <v>1</v>
      </c>
      <c r="J43" s="95" t="str">
        <f>LOOKUP(K43,RANGOS!$F$2:$G$26)</f>
        <v xml:space="preserve">MUY BAJO </v>
      </c>
      <c r="K43" s="95">
        <f t="shared" si="3"/>
        <v>1</v>
      </c>
      <c r="L43" s="165">
        <f>$B$37*$D$43*AVERAGE(K43:K44)</f>
        <v>0.06</v>
      </c>
      <c r="M43" s="155"/>
      <c r="N43" s="149"/>
      <c r="O43" s="193"/>
      <c r="P43" s="39" t="str">
        <f>LOOKUP(Q43,RANGOS!$F$2:$G$26)</f>
        <v xml:space="preserve">MUY BAJO </v>
      </c>
      <c r="Q43" s="39">
        <f t="shared" si="4"/>
        <v>1</v>
      </c>
      <c r="R43" s="165">
        <f>$B$37*$D$43*AVERAGE(Q43:Q44)</f>
        <v>0.06</v>
      </c>
    </row>
    <row r="44" spans="1:22" x14ac:dyDescent="0.3">
      <c r="A44" s="185"/>
      <c r="B44" s="148"/>
      <c r="C44" s="171"/>
      <c r="D44" s="187"/>
      <c r="E44" s="21" t="s">
        <v>205</v>
      </c>
      <c r="F44" s="96" t="str">
        <f>LOOKUP(G44,RANGOS!$A$2:$B$6)</f>
        <v xml:space="preserve">Muy baja </v>
      </c>
      <c r="G44" s="48">
        <v>1</v>
      </c>
      <c r="H44" s="96" t="str">
        <f>LOOKUP(I44,RANGOS!$A$9:$B$13)</f>
        <v xml:space="preserve">Muy bajo </v>
      </c>
      <c r="I44" s="56">
        <v>1</v>
      </c>
      <c r="J44" s="96" t="str">
        <f>LOOKUP(K44,RANGOS!$F$2:$G$26)</f>
        <v xml:space="preserve">MUY BAJO </v>
      </c>
      <c r="K44" s="96">
        <f t="shared" si="3"/>
        <v>1</v>
      </c>
      <c r="L44" s="164"/>
      <c r="M44" s="156"/>
      <c r="N44" s="149"/>
      <c r="O44" s="193"/>
      <c r="P44" s="40" t="str">
        <f>LOOKUP(Q44,RANGOS!$F$2:$G$26)</f>
        <v xml:space="preserve">MUY BAJO </v>
      </c>
      <c r="Q44" s="40">
        <f t="shared" si="4"/>
        <v>1</v>
      </c>
      <c r="R44" s="164"/>
    </row>
    <row r="45" spans="1:22" x14ac:dyDescent="0.3">
      <c r="A45" s="185"/>
      <c r="B45" s="148"/>
      <c r="C45" s="170" t="s">
        <v>206</v>
      </c>
      <c r="D45" s="148">
        <v>0.2</v>
      </c>
      <c r="E45" s="61" t="s">
        <v>53</v>
      </c>
      <c r="F45" s="27" t="str">
        <f>LOOKUP(G45,RANGOS!$A$2:$B$6)</f>
        <v xml:space="preserve">Muy baja </v>
      </c>
      <c r="G45" s="47">
        <v>1</v>
      </c>
      <c r="H45" s="27" t="str">
        <f>LOOKUP(I45,RANGOS!$A$9:$B$13)</f>
        <v xml:space="preserve">Muy bajo </v>
      </c>
      <c r="I45" s="51">
        <v>1</v>
      </c>
      <c r="J45" s="27" t="str">
        <f>LOOKUP(K45,RANGOS!$F$2:$G$26)</f>
        <v xml:space="preserve">MUY BAJO </v>
      </c>
      <c r="K45" s="27">
        <f t="shared" si="3"/>
        <v>1</v>
      </c>
      <c r="L45" s="163">
        <f>$B$37*$D$45*AVERAGE(K45:K46)</f>
        <v>0.06</v>
      </c>
      <c r="M45" s="155"/>
      <c r="N45" s="149"/>
      <c r="O45" s="193"/>
      <c r="P45" s="39" t="str">
        <f>LOOKUP(Q45,RANGOS!$F$2:$G$26)</f>
        <v xml:space="preserve">MUY BAJO </v>
      </c>
      <c r="Q45" s="28">
        <f t="shared" si="4"/>
        <v>1</v>
      </c>
      <c r="R45" s="163">
        <f>$B$37*$D$45*AVERAGE(Q45:Q46)</f>
        <v>0.06</v>
      </c>
    </row>
    <row r="46" spans="1:22" x14ac:dyDescent="0.3">
      <c r="A46" s="186"/>
      <c r="B46" s="187"/>
      <c r="C46" s="171"/>
      <c r="D46" s="187"/>
      <c r="E46" s="21" t="s">
        <v>54</v>
      </c>
      <c r="F46" s="96" t="str">
        <f>LOOKUP(G46,RANGOS!$A$2:$B$6)</f>
        <v xml:space="preserve">Muy baja </v>
      </c>
      <c r="G46" s="48">
        <v>1</v>
      </c>
      <c r="H46" s="96" t="str">
        <f>LOOKUP(I46,RANGOS!$A$9:$B$13)</f>
        <v xml:space="preserve">Muy bajo </v>
      </c>
      <c r="I46" s="56">
        <v>1</v>
      </c>
      <c r="J46" s="96" t="str">
        <f>LOOKUP(K46,RANGOS!$F$2:$G$26)</f>
        <v xml:space="preserve">MUY BAJO </v>
      </c>
      <c r="K46" s="96">
        <f t="shared" si="3"/>
        <v>1</v>
      </c>
      <c r="L46" s="164"/>
      <c r="M46" s="156"/>
      <c r="N46" s="191"/>
      <c r="O46" s="194"/>
      <c r="P46" s="40" t="str">
        <f>LOOKUP(Q46,RANGOS!$F$2:$G$26)</f>
        <v xml:space="preserve">MUY BAJO </v>
      </c>
      <c r="Q46" s="40">
        <f t="shared" ref="Q46" si="5">K46/$O$37</f>
        <v>1</v>
      </c>
      <c r="R46" s="164"/>
    </row>
    <row r="47" spans="1:22" x14ac:dyDescent="0.3">
      <c r="I47" s="102" t="s">
        <v>179</v>
      </c>
      <c r="J47" s="184" t="str">
        <f>LOOKUP(L47,RANGOS!F2:G26)</f>
        <v xml:space="preserve">MEDIO </v>
      </c>
      <c r="K47" s="184"/>
      <c r="L47" s="59">
        <f>SUM(L4:L46)</f>
        <v>6.6029166666666637</v>
      </c>
      <c r="O47" s="103" t="s">
        <v>180</v>
      </c>
      <c r="P47" s="184" t="str">
        <f>LOOKUP(R47,RANGOS!$F$2:$G$26)</f>
        <v>BAJO</v>
      </c>
      <c r="Q47" s="184"/>
      <c r="R47" s="59">
        <f>SUM(R4:R46)</f>
        <v>2.9104166666666669</v>
      </c>
    </row>
  </sheetData>
  <mergeCells count="103">
    <mergeCell ref="R45:R46"/>
    <mergeCell ref="R26:R28"/>
    <mergeCell ref="R29:R31"/>
    <mergeCell ref="R32:R36"/>
    <mergeCell ref="R37:R38"/>
    <mergeCell ref="R39:R40"/>
    <mergeCell ref="R4:R7"/>
    <mergeCell ref="D37:D38"/>
    <mergeCell ref="D39:D40"/>
    <mergeCell ref="D41:D42"/>
    <mergeCell ref="D43:D44"/>
    <mergeCell ref="N32:N36"/>
    <mergeCell ref="N8:N10"/>
    <mergeCell ref="N11:N14"/>
    <mergeCell ref="N15:N18"/>
    <mergeCell ref="N19:N22"/>
    <mergeCell ref="O4:O7"/>
    <mergeCell ref="O8:O10"/>
    <mergeCell ref="O11:O14"/>
    <mergeCell ref="O15:O18"/>
    <mergeCell ref="O19:O22"/>
    <mergeCell ref="D29:D31"/>
    <mergeCell ref="R8:R10"/>
    <mergeCell ref="R11:R14"/>
    <mergeCell ref="R15:R18"/>
    <mergeCell ref="R19:R22"/>
    <mergeCell ref="R23:R25"/>
    <mergeCell ref="R41:R42"/>
    <mergeCell ref="R43:R44"/>
    <mergeCell ref="P3:Q3"/>
    <mergeCell ref="J47:K47"/>
    <mergeCell ref="A4:A36"/>
    <mergeCell ref="B4:B36"/>
    <mergeCell ref="D32:D36"/>
    <mergeCell ref="P47:Q47"/>
    <mergeCell ref="A37:A46"/>
    <mergeCell ref="B37:B46"/>
    <mergeCell ref="N37:N46"/>
    <mergeCell ref="O37:O46"/>
    <mergeCell ref="O23:O25"/>
    <mergeCell ref="O26:O28"/>
    <mergeCell ref="O29:O31"/>
    <mergeCell ref="O32:O36"/>
    <mergeCell ref="N3:O3"/>
    <mergeCell ref="N4:N7"/>
    <mergeCell ref="C45:C46"/>
    <mergeCell ref="D45:D46"/>
    <mergeCell ref="C37:C38"/>
    <mergeCell ref="C39:C40"/>
    <mergeCell ref="C41:C42"/>
    <mergeCell ref="C43:C44"/>
    <mergeCell ref="D11:D14"/>
    <mergeCell ref="D15:D18"/>
    <mergeCell ref="C15:C18"/>
    <mergeCell ref="D26:D28"/>
    <mergeCell ref="C26:C28"/>
    <mergeCell ref="C29:C31"/>
    <mergeCell ref="N23:N25"/>
    <mergeCell ref="N26:N28"/>
    <mergeCell ref="N29:N31"/>
    <mergeCell ref="L23:L25"/>
    <mergeCell ref="L26:L28"/>
    <mergeCell ref="L29:L31"/>
    <mergeCell ref="C23:C25"/>
    <mergeCell ref="D23:D25"/>
    <mergeCell ref="M23:M25"/>
    <mergeCell ref="M26:M28"/>
    <mergeCell ref="M29:M31"/>
    <mergeCell ref="A3:B3"/>
    <mergeCell ref="C3:D3"/>
    <mergeCell ref="L45:L46"/>
    <mergeCell ref="L32:L36"/>
    <mergeCell ref="L37:L38"/>
    <mergeCell ref="L39:L40"/>
    <mergeCell ref="L41:L42"/>
    <mergeCell ref="L43:L44"/>
    <mergeCell ref="L4:L7"/>
    <mergeCell ref="L8:L10"/>
    <mergeCell ref="L11:L14"/>
    <mergeCell ref="L15:L18"/>
    <mergeCell ref="L19:L22"/>
    <mergeCell ref="C32:C36"/>
    <mergeCell ref="C19:C22"/>
    <mergeCell ref="D19:D22"/>
    <mergeCell ref="J3:K3"/>
    <mergeCell ref="C4:C7"/>
    <mergeCell ref="D4:D7"/>
    <mergeCell ref="C8:C10"/>
    <mergeCell ref="D8:D10"/>
    <mergeCell ref="F3:G3"/>
    <mergeCell ref="H3:I3"/>
    <mergeCell ref="C11:C14"/>
    <mergeCell ref="M45:M46"/>
    <mergeCell ref="M32:M36"/>
    <mergeCell ref="M37:M38"/>
    <mergeCell ref="M39:M40"/>
    <mergeCell ref="M41:M42"/>
    <mergeCell ref="M43:M44"/>
    <mergeCell ref="M4:M7"/>
    <mergeCell ref="M11:M14"/>
    <mergeCell ref="M8:M10"/>
    <mergeCell ref="M15:M18"/>
    <mergeCell ref="M19:M22"/>
  </mergeCells>
  <hyperlinks>
    <hyperlink ref="E36" r:id="rId1" tooltip="Piura" display="http://es.wikipedia.org/wiki/Piura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J47"/>
  <sheetViews>
    <sheetView topLeftCell="A3" zoomScale="130" zoomScaleNormal="130" workbookViewId="0">
      <selection activeCell="F47" sqref="F47"/>
    </sheetView>
  </sheetViews>
  <sheetFormatPr baseColWidth="10" defaultColWidth="11.44140625" defaultRowHeight="14.4" x14ac:dyDescent="0.3"/>
  <cols>
    <col min="1" max="1" width="15.33203125" style="3" customWidth="1"/>
    <col min="2" max="2" width="21.44140625" style="3" customWidth="1"/>
    <col min="3" max="3" width="27" style="3" customWidth="1"/>
    <col min="4" max="4" width="10" style="3" customWidth="1"/>
    <col min="5" max="5" width="12.33203125" style="3" customWidth="1"/>
    <col min="6" max="6" width="11.44140625" customWidth="1"/>
    <col min="7" max="7" width="7" style="3" customWidth="1"/>
    <col min="8" max="8" width="10.6640625" style="3" bestFit="1" customWidth="1"/>
    <col min="9" max="9" width="15" style="3" customWidth="1"/>
    <col min="10" max="16384" width="11.44140625" style="3"/>
  </cols>
  <sheetData>
    <row r="1" spans="1:10" ht="17.399999999999999" x14ac:dyDescent="0.3">
      <c r="A1" s="100" t="s">
        <v>183</v>
      </c>
    </row>
    <row r="2" spans="1:10" x14ac:dyDescent="0.3">
      <c r="A2" s="46"/>
    </row>
    <row r="3" spans="1:10" x14ac:dyDescent="0.3">
      <c r="A3" s="1" t="s">
        <v>171</v>
      </c>
    </row>
    <row r="4" spans="1:10" s="27" customFormat="1" ht="14.25" customHeight="1" x14ac:dyDescent="0.3">
      <c r="A4" s="3"/>
      <c r="B4" s="3"/>
      <c r="C4" s="3"/>
      <c r="D4" s="3"/>
      <c r="E4" s="3"/>
      <c r="F4"/>
      <c r="G4" s="3"/>
      <c r="H4" s="11"/>
      <c r="I4" s="11"/>
    </row>
    <row r="5" spans="1:10" ht="15" customHeight="1" x14ac:dyDescent="0.3">
      <c r="A5" s="98" t="s">
        <v>0</v>
      </c>
      <c r="B5" s="105" t="s">
        <v>1</v>
      </c>
      <c r="C5" s="105" t="s">
        <v>2</v>
      </c>
      <c r="D5" s="106" t="s">
        <v>125</v>
      </c>
      <c r="E5" s="106" t="s">
        <v>70</v>
      </c>
      <c r="F5" s="162" t="s">
        <v>16</v>
      </c>
      <c r="G5" s="162"/>
      <c r="H5" s="11"/>
      <c r="I5" s="13"/>
      <c r="J5" s="13"/>
    </row>
    <row r="6" spans="1:10" ht="15" customHeight="1" x14ac:dyDescent="0.3">
      <c r="A6" s="207" t="s">
        <v>55</v>
      </c>
      <c r="B6" s="210" t="s">
        <v>36</v>
      </c>
      <c r="C6" s="26" t="s">
        <v>58</v>
      </c>
      <c r="D6" s="43">
        <v>80</v>
      </c>
      <c r="E6" s="30">
        <f>D6/SUM($D$6:$D$9)</f>
        <v>0.08</v>
      </c>
      <c r="F6" s="28" t="str">
        <f>LOOKUP(G6,RANGOS!$A$9:$B$13)</f>
        <v xml:space="preserve">Bajo </v>
      </c>
      <c r="G6" s="28">
        <f>LOOKUP(E6,RANGOS!$I$2:$J$101)</f>
        <v>2</v>
      </c>
      <c r="H6" s="13"/>
      <c r="I6" s="13"/>
      <c r="J6" s="13"/>
    </row>
    <row r="7" spans="1:10" ht="15" customHeight="1" x14ac:dyDescent="0.3">
      <c r="A7" s="208"/>
      <c r="B7" s="211"/>
      <c r="C7" s="13" t="s">
        <v>59</v>
      </c>
      <c r="D7" s="44">
        <v>270</v>
      </c>
      <c r="E7" s="31">
        <f t="shared" ref="E7:E9" si="0">D7/SUM($D$6:$D$9)</f>
        <v>0.27</v>
      </c>
      <c r="F7" s="28" t="str">
        <f>LOOKUP(G7,RANGOS!$A$9:$B$13)</f>
        <v>Medio</v>
      </c>
      <c r="G7" s="28">
        <f>LOOKUP(E7,RANGOS!$I$2:$J$101)</f>
        <v>3</v>
      </c>
      <c r="H7" s="13"/>
      <c r="I7" s="13"/>
      <c r="J7" s="13"/>
    </row>
    <row r="8" spans="1:10" ht="15" customHeight="1" x14ac:dyDescent="0.3">
      <c r="A8" s="208"/>
      <c r="B8" s="211"/>
      <c r="C8" s="13" t="s">
        <v>60</v>
      </c>
      <c r="D8" s="44">
        <v>400</v>
      </c>
      <c r="E8" s="31">
        <f t="shared" si="0"/>
        <v>0.4</v>
      </c>
      <c r="F8" s="28" t="str">
        <f>LOOKUP(G8,RANGOS!$A$9:$B$13)</f>
        <v>Medio</v>
      </c>
      <c r="G8" s="28">
        <f>LOOKUP(E8,RANGOS!$I$2:$J$101)</f>
        <v>3</v>
      </c>
      <c r="H8" s="13"/>
      <c r="I8" s="13"/>
      <c r="J8" s="13"/>
    </row>
    <row r="9" spans="1:10" ht="15" customHeight="1" x14ac:dyDescent="0.3">
      <c r="A9" s="208"/>
      <c r="B9" s="212"/>
      <c r="C9" s="14" t="s">
        <v>61</v>
      </c>
      <c r="D9" s="45">
        <v>250</v>
      </c>
      <c r="E9" s="32">
        <f t="shared" si="0"/>
        <v>0.25</v>
      </c>
      <c r="F9" s="40" t="str">
        <f>LOOKUP(G9,RANGOS!$A$9:$B$13)</f>
        <v>Medio</v>
      </c>
      <c r="G9" s="40">
        <f>LOOKUP(E9,RANGOS!$I$2:$J$101)</f>
        <v>3</v>
      </c>
      <c r="H9" s="13"/>
      <c r="I9" s="13"/>
      <c r="J9" s="13"/>
    </row>
    <row r="10" spans="1:10" ht="15" customHeight="1" x14ac:dyDescent="0.3">
      <c r="A10" s="208"/>
      <c r="B10" s="211" t="s">
        <v>37</v>
      </c>
      <c r="C10" s="26" t="s">
        <v>123</v>
      </c>
      <c r="D10" s="43">
        <v>650</v>
      </c>
      <c r="E10" s="30">
        <f>D10/SUM($D$10:$D$12)</f>
        <v>0.65</v>
      </c>
      <c r="F10" s="28" t="str">
        <f>LOOKUP(G10,RANGOS!$A$9:$B$13)</f>
        <v>Alto</v>
      </c>
      <c r="G10" s="39">
        <f>LOOKUP(E10,RANGOS!$I$2:$J$101)</f>
        <v>4</v>
      </c>
      <c r="H10" s="13"/>
    </row>
    <row r="11" spans="1:10" ht="15" customHeight="1" x14ac:dyDescent="0.3">
      <c r="A11" s="208"/>
      <c r="B11" s="211"/>
      <c r="C11" s="13" t="s">
        <v>62</v>
      </c>
      <c r="D11" s="44">
        <v>150</v>
      </c>
      <c r="E11" s="31">
        <f t="shared" ref="E11:E12" si="1">D11/SUM($D$10:$D$12)</f>
        <v>0.15</v>
      </c>
      <c r="F11" s="28" t="str">
        <f>LOOKUP(G11,RANGOS!$A$9:$B$13)</f>
        <v xml:space="preserve">Bajo </v>
      </c>
      <c r="G11" s="28">
        <f>LOOKUP(E11,RANGOS!$I$2:$J$101)</f>
        <v>2</v>
      </c>
    </row>
    <row r="12" spans="1:10" ht="15" customHeight="1" x14ac:dyDescent="0.3">
      <c r="A12" s="208"/>
      <c r="B12" s="211"/>
      <c r="C12" s="14" t="s">
        <v>63</v>
      </c>
      <c r="D12" s="45">
        <v>200</v>
      </c>
      <c r="E12" s="32">
        <f t="shared" si="1"/>
        <v>0.2</v>
      </c>
      <c r="F12" s="40" t="str">
        <f>LOOKUP(G12,RANGOS!$A$9:$B$13)</f>
        <v xml:space="preserve">Bajo </v>
      </c>
      <c r="G12" s="40">
        <f>LOOKUP(E12,RANGOS!$I$2:$J$101)</f>
        <v>2</v>
      </c>
    </row>
    <row r="13" spans="1:10" ht="15" customHeight="1" x14ac:dyDescent="0.3">
      <c r="A13" s="208"/>
      <c r="B13" s="210" t="s">
        <v>38</v>
      </c>
      <c r="C13" s="26" t="s">
        <v>151</v>
      </c>
      <c r="D13" s="43">
        <v>150</v>
      </c>
      <c r="E13" s="34">
        <f>D13/SUM($D$13:$D$16)</f>
        <v>0.15</v>
      </c>
      <c r="F13" s="28" t="str">
        <f>LOOKUP(G13,RANGOS!$A$9:$B$13)</f>
        <v xml:space="preserve">Bajo </v>
      </c>
      <c r="G13" s="39">
        <f>LOOKUP(E13,RANGOS!$I$2:$J$101)</f>
        <v>2</v>
      </c>
    </row>
    <row r="14" spans="1:10" ht="15" customHeight="1" x14ac:dyDescent="0.3">
      <c r="A14" s="208"/>
      <c r="B14" s="211"/>
      <c r="C14" s="13" t="s">
        <v>64</v>
      </c>
      <c r="D14" s="44">
        <v>200</v>
      </c>
      <c r="E14" s="33">
        <f t="shared" ref="E14:E16" si="2">D14/SUM($D$13:$D$16)</f>
        <v>0.2</v>
      </c>
      <c r="F14" s="28" t="str">
        <f>LOOKUP(G14,RANGOS!$A$9:$B$13)</f>
        <v xml:space="preserve">Bajo </v>
      </c>
      <c r="G14" s="28">
        <f>LOOKUP(E14,RANGOS!$I$2:$J$101)</f>
        <v>2</v>
      </c>
    </row>
    <row r="15" spans="1:10" ht="15" customHeight="1" x14ac:dyDescent="0.3">
      <c r="A15" s="208"/>
      <c r="B15" s="211"/>
      <c r="C15" s="13" t="s">
        <v>65</v>
      </c>
      <c r="D15" s="44">
        <v>400</v>
      </c>
      <c r="E15" s="33">
        <f t="shared" si="2"/>
        <v>0.4</v>
      </c>
      <c r="F15" s="28" t="str">
        <f>LOOKUP(G15,RANGOS!$A$9:$B$13)</f>
        <v>Medio</v>
      </c>
      <c r="G15" s="28">
        <f>LOOKUP(E15,RANGOS!$I$2:$J$101)</f>
        <v>3</v>
      </c>
    </row>
    <row r="16" spans="1:10" ht="15" customHeight="1" x14ac:dyDescent="0.3">
      <c r="A16" s="208"/>
      <c r="B16" s="212"/>
      <c r="C16" s="14" t="s">
        <v>65</v>
      </c>
      <c r="D16" s="45">
        <v>250</v>
      </c>
      <c r="E16" s="35">
        <f t="shared" si="2"/>
        <v>0.25</v>
      </c>
      <c r="F16" s="40" t="str">
        <f>LOOKUP(G16,RANGOS!$A$9:$B$13)</f>
        <v>Medio</v>
      </c>
      <c r="G16" s="40">
        <f>LOOKUP(E16,RANGOS!$I$2:$J$101)</f>
        <v>3</v>
      </c>
    </row>
    <row r="17" spans="1:7" ht="15" customHeight="1" x14ac:dyDescent="0.3">
      <c r="A17" s="208"/>
      <c r="B17" s="211" t="s">
        <v>39</v>
      </c>
      <c r="C17" s="26" t="s">
        <v>66</v>
      </c>
      <c r="D17" s="43">
        <v>250</v>
      </c>
      <c r="E17" s="34">
        <f>D17/SUM($D$17:$D$20)</f>
        <v>0.20833333333333334</v>
      </c>
      <c r="F17" s="28" t="str">
        <f>LOOKUP(G17,RANGOS!$A$9:$B$13)</f>
        <v xml:space="preserve">Bajo </v>
      </c>
      <c r="G17" s="39">
        <f>LOOKUP(E17,RANGOS!$I$2:$J$101)</f>
        <v>2</v>
      </c>
    </row>
    <row r="18" spans="1:7" ht="15" customHeight="1" x14ac:dyDescent="0.3">
      <c r="A18" s="208"/>
      <c r="B18" s="211"/>
      <c r="C18" s="13" t="s">
        <v>67</v>
      </c>
      <c r="D18" s="44">
        <v>350</v>
      </c>
      <c r="E18" s="33">
        <f t="shared" ref="E18:E20" si="3">D18/SUM($D$17:$D$20)</f>
        <v>0.29166666666666669</v>
      </c>
      <c r="F18" s="28" t="str">
        <f>LOOKUP(G18,RANGOS!$A$9:$B$13)</f>
        <v>Medio</v>
      </c>
      <c r="G18" s="28">
        <f>LOOKUP(E18,RANGOS!$I$2:$J$101)</f>
        <v>3</v>
      </c>
    </row>
    <row r="19" spans="1:7" ht="15" customHeight="1" x14ac:dyDescent="0.3">
      <c r="A19" s="208"/>
      <c r="B19" s="211"/>
      <c r="C19" s="13" t="s">
        <v>68</v>
      </c>
      <c r="D19" s="44">
        <v>300</v>
      </c>
      <c r="E19" s="33">
        <f t="shared" si="3"/>
        <v>0.25</v>
      </c>
      <c r="F19" s="28" t="str">
        <f>LOOKUP(G19,RANGOS!$A$9:$B$13)</f>
        <v>Medio</v>
      </c>
      <c r="G19" s="28">
        <f>LOOKUP(E19,RANGOS!$I$2:$J$101)</f>
        <v>3</v>
      </c>
    </row>
    <row r="20" spans="1:7" ht="12.75" customHeight="1" x14ac:dyDescent="0.3">
      <c r="A20" s="208"/>
      <c r="B20" s="212"/>
      <c r="C20" s="14" t="s">
        <v>69</v>
      </c>
      <c r="D20" s="45">
        <v>300</v>
      </c>
      <c r="E20" s="35">
        <f t="shared" si="3"/>
        <v>0.25</v>
      </c>
      <c r="F20" s="40" t="str">
        <f>LOOKUP(G20,RANGOS!$A$9:$B$13)</f>
        <v>Medio</v>
      </c>
      <c r="G20" s="40">
        <f>LOOKUP(E20,RANGOS!$I$2:$J$101)</f>
        <v>3</v>
      </c>
    </row>
    <row r="21" spans="1:7" ht="15" customHeight="1" x14ac:dyDescent="0.3">
      <c r="A21" s="208"/>
      <c r="B21" s="211" t="s">
        <v>44</v>
      </c>
      <c r="C21" s="19" t="s">
        <v>40</v>
      </c>
      <c r="D21" s="43">
        <v>600</v>
      </c>
      <c r="E21" s="34">
        <f>D21/SUM($D$21:$D$24)</f>
        <v>0.6</v>
      </c>
      <c r="F21" s="28" t="str">
        <f>LOOKUP(G21,RANGOS!$A$9:$B$13)</f>
        <v>Alto</v>
      </c>
      <c r="G21" s="39">
        <f>LOOKUP(E21,RANGOS!$I$2:$J$101)</f>
        <v>4</v>
      </c>
    </row>
    <row r="22" spans="1:7" ht="15" customHeight="1" x14ac:dyDescent="0.3">
      <c r="A22" s="208"/>
      <c r="B22" s="211"/>
      <c r="C22" s="15" t="s">
        <v>41</v>
      </c>
      <c r="D22" s="44">
        <v>100</v>
      </c>
      <c r="E22" s="33">
        <f t="shared" ref="E22:E24" si="4">D22/SUM($D$21:$D$24)</f>
        <v>0.1</v>
      </c>
      <c r="F22" s="28" t="str">
        <f>LOOKUP(G22,RANGOS!$A$9:$B$13)</f>
        <v xml:space="preserve">Bajo </v>
      </c>
      <c r="G22" s="28">
        <f>LOOKUP(E22,RANGOS!$I$2:$J$101)</f>
        <v>2</v>
      </c>
    </row>
    <row r="23" spans="1:7" ht="15" customHeight="1" x14ac:dyDescent="0.3">
      <c r="A23" s="208"/>
      <c r="B23" s="211"/>
      <c r="C23" s="15" t="s">
        <v>42</v>
      </c>
      <c r="D23" s="44">
        <v>100</v>
      </c>
      <c r="E23" s="33">
        <f t="shared" si="4"/>
        <v>0.1</v>
      </c>
      <c r="F23" s="28" t="str">
        <f>LOOKUP(G23,RANGOS!$A$9:$B$13)</f>
        <v xml:space="preserve">Bajo </v>
      </c>
      <c r="G23" s="28">
        <f>LOOKUP(E23,RANGOS!$I$2:$J$101)</f>
        <v>2</v>
      </c>
    </row>
    <row r="24" spans="1:7" ht="15" customHeight="1" x14ac:dyDescent="0.3">
      <c r="A24" s="208"/>
      <c r="B24" s="212"/>
      <c r="C24" s="16" t="s">
        <v>43</v>
      </c>
      <c r="D24" s="45">
        <v>200</v>
      </c>
      <c r="E24" s="35">
        <f t="shared" si="4"/>
        <v>0.2</v>
      </c>
      <c r="F24" s="40" t="str">
        <f>LOOKUP(G24,RANGOS!$A$9:$B$13)</f>
        <v xml:space="preserve">Bajo </v>
      </c>
      <c r="G24" s="40">
        <f>LOOKUP(E24,RANGOS!$I$2:$J$101)</f>
        <v>2</v>
      </c>
    </row>
    <row r="25" spans="1:7" ht="12.75" customHeight="1" x14ac:dyDescent="0.3">
      <c r="A25" s="208"/>
      <c r="B25" s="210" t="s">
        <v>45</v>
      </c>
      <c r="C25" s="26" t="s">
        <v>46</v>
      </c>
      <c r="D25" s="43">
        <v>100</v>
      </c>
      <c r="E25" s="34">
        <f>D25/SUM($D$25:$D$27)</f>
        <v>0.1</v>
      </c>
      <c r="F25" s="28" t="str">
        <f>LOOKUP(G25,RANGOS!$A$9:$B$13)</f>
        <v xml:space="preserve">Bajo </v>
      </c>
      <c r="G25" s="39">
        <f>LOOKUP(E25,RANGOS!$I$2:$J$101)</f>
        <v>2</v>
      </c>
    </row>
    <row r="26" spans="1:7" ht="12.75" customHeight="1" x14ac:dyDescent="0.3">
      <c r="A26" s="208"/>
      <c r="B26" s="211"/>
      <c r="C26" s="13" t="s">
        <v>47</v>
      </c>
      <c r="D26" s="44">
        <v>300</v>
      </c>
      <c r="E26" s="33">
        <f t="shared" ref="E26:E27" si="5">D26/SUM($D$25:$D$27)</f>
        <v>0.3</v>
      </c>
      <c r="F26" s="28" t="str">
        <f>LOOKUP(G26,RANGOS!$A$9:$B$13)</f>
        <v>Medio</v>
      </c>
      <c r="G26" s="28">
        <f>LOOKUP(E26,RANGOS!$I$2:$J$101)</f>
        <v>3</v>
      </c>
    </row>
    <row r="27" spans="1:7" ht="12.75" customHeight="1" x14ac:dyDescent="0.3">
      <c r="A27" s="208"/>
      <c r="B27" s="212"/>
      <c r="C27" s="14" t="s">
        <v>48</v>
      </c>
      <c r="D27" s="45">
        <v>600</v>
      </c>
      <c r="E27" s="35">
        <f t="shared" si="5"/>
        <v>0.6</v>
      </c>
      <c r="F27" s="40" t="str">
        <f>LOOKUP(G27,RANGOS!$A$9:$B$13)</f>
        <v>Alto</v>
      </c>
      <c r="G27" s="40">
        <f>LOOKUP(E27,RANGOS!$I$2:$J$101)</f>
        <v>4</v>
      </c>
    </row>
    <row r="28" spans="1:7" ht="12.75" customHeight="1" x14ac:dyDescent="0.3">
      <c r="A28" s="208"/>
      <c r="B28" s="205" t="s">
        <v>163</v>
      </c>
      <c r="C28" s="18" t="s">
        <v>176</v>
      </c>
      <c r="D28" s="44">
        <v>550</v>
      </c>
      <c r="E28" s="33">
        <f>D28/SUM($D$28:$D$30)</f>
        <v>0.55000000000000004</v>
      </c>
      <c r="F28" s="28" t="str">
        <f>LOOKUP(G28,RANGOS!$A$9:$B$13)</f>
        <v>Alto</v>
      </c>
      <c r="G28" s="28">
        <f>LOOKUP(E28,RANGOS!$I$2:$J$101)</f>
        <v>4</v>
      </c>
    </row>
    <row r="29" spans="1:7" ht="12.75" customHeight="1" x14ac:dyDescent="0.3">
      <c r="A29" s="208"/>
      <c r="B29" s="205"/>
      <c r="C29" s="18" t="s">
        <v>177</v>
      </c>
      <c r="D29" s="44">
        <v>400</v>
      </c>
      <c r="E29" s="33">
        <f>D29/SUM($D$28:$D$30)</f>
        <v>0.4</v>
      </c>
      <c r="F29" s="28" t="str">
        <f>LOOKUP(G29,RANGOS!$A$9:$B$13)</f>
        <v>Medio</v>
      </c>
      <c r="G29" s="28">
        <f>LOOKUP(E29,RANGOS!$I$2:$J$101)</f>
        <v>3</v>
      </c>
    </row>
    <row r="30" spans="1:7" ht="13.8" x14ac:dyDescent="0.3">
      <c r="A30" s="208"/>
      <c r="B30" s="205"/>
      <c r="C30" s="104" t="s">
        <v>178</v>
      </c>
      <c r="D30" s="44">
        <v>50</v>
      </c>
      <c r="E30" s="33">
        <f>D30/SUM($D$28:$D$30)</f>
        <v>0.05</v>
      </c>
      <c r="F30" s="40" t="str">
        <f>LOOKUP(G30,RANGOS!$A$9:$B$13)</f>
        <v xml:space="preserve">Muy bajo </v>
      </c>
      <c r="G30" s="28">
        <f>LOOKUP(E30,RANGOS!$I$2:$J$101)</f>
        <v>1</v>
      </c>
    </row>
    <row r="31" spans="1:7" ht="12.75" customHeight="1" x14ac:dyDescent="0.3">
      <c r="A31" s="208"/>
      <c r="B31" s="210" t="s">
        <v>170</v>
      </c>
      <c r="C31" s="19" t="s">
        <v>49</v>
      </c>
      <c r="D31" s="43">
        <v>700</v>
      </c>
      <c r="E31" s="34">
        <f>D31/SUM($D$31:$D$33)</f>
        <v>0.7</v>
      </c>
      <c r="F31" s="28" t="str">
        <f>LOOKUP(G31,RANGOS!$A$9:$B$13)</f>
        <v>Alto</v>
      </c>
      <c r="G31" s="39">
        <f>LOOKUP(E31,RANGOS!$I$2:$J$101)</f>
        <v>4</v>
      </c>
    </row>
    <row r="32" spans="1:7" ht="12.75" customHeight="1" x14ac:dyDescent="0.3">
      <c r="A32" s="208"/>
      <c r="B32" s="211"/>
      <c r="C32" s="15" t="s">
        <v>50</v>
      </c>
      <c r="D32" s="44">
        <v>5</v>
      </c>
      <c r="E32" s="33">
        <f t="shared" ref="E32:E33" si="6">D32/SUM($D$31:$D$33)</f>
        <v>5.0000000000000001E-3</v>
      </c>
      <c r="F32" s="28" t="str">
        <f>LOOKUP(G32,RANGOS!$A$9:$B$13)</f>
        <v xml:space="preserve">Muy bajo </v>
      </c>
      <c r="G32" s="28">
        <f>LOOKUP(E32,RANGOS!$I$2:$J$101)</f>
        <v>1</v>
      </c>
    </row>
    <row r="33" spans="1:7" ht="13.8" x14ac:dyDescent="0.3">
      <c r="A33" s="208"/>
      <c r="B33" s="212"/>
      <c r="C33" s="16" t="s">
        <v>51</v>
      </c>
      <c r="D33" s="45">
        <v>295</v>
      </c>
      <c r="E33" s="35">
        <f t="shared" si="6"/>
        <v>0.29499999999999998</v>
      </c>
      <c r="F33" s="40" t="str">
        <f>LOOKUP(G33,RANGOS!$A$9:$B$13)</f>
        <v>Medio</v>
      </c>
      <c r="G33" s="40">
        <f>LOOKUP(E33,RANGOS!$I$2:$J$101)</f>
        <v>3</v>
      </c>
    </row>
    <row r="34" spans="1:7" ht="12.75" customHeight="1" x14ac:dyDescent="0.3">
      <c r="A34" s="208"/>
      <c r="B34" s="204" t="s">
        <v>150</v>
      </c>
      <c r="C34" s="20" t="s">
        <v>54</v>
      </c>
      <c r="D34" s="43">
        <v>450</v>
      </c>
      <c r="E34" s="34">
        <f t="shared" ref="E34:E47" si="7">D34/SUM($D$34:$D$39)</f>
        <v>0.37656903765690375</v>
      </c>
      <c r="F34" s="28" t="str">
        <f>LOOKUP(G34,RANGOS!$A$9:$B$13)</f>
        <v>Medio</v>
      </c>
      <c r="G34" s="39">
        <f>LOOKUP(E34,RANGOS!$I$2:$J$101)</f>
        <v>3</v>
      </c>
    </row>
    <row r="35" spans="1:7" ht="13.8" x14ac:dyDescent="0.3">
      <c r="A35" s="208"/>
      <c r="B35" s="205"/>
      <c r="C35" s="3" t="s">
        <v>196</v>
      </c>
      <c r="D35" s="44">
        <v>160</v>
      </c>
      <c r="E35" s="33">
        <f t="shared" si="7"/>
        <v>0.13389121338912133</v>
      </c>
      <c r="F35" s="28" t="str">
        <f>LOOKUP(G35,RANGOS!$A$9:$B$13)</f>
        <v xml:space="preserve">Bajo </v>
      </c>
      <c r="G35" s="28">
        <f>LOOKUP(E35,RANGOS!$I$2:$J$101)</f>
        <v>2</v>
      </c>
    </row>
    <row r="36" spans="1:7" ht="13.8" x14ac:dyDescent="0.3">
      <c r="A36" s="208"/>
      <c r="B36" s="205"/>
      <c r="C36" s="3" t="s">
        <v>195</v>
      </c>
      <c r="D36" s="44">
        <v>90</v>
      </c>
      <c r="E36" s="33">
        <f t="shared" si="7"/>
        <v>7.5313807531380755E-2</v>
      </c>
      <c r="F36" s="28" t="str">
        <f>LOOKUP(G36,RANGOS!$A$9:$B$13)</f>
        <v xml:space="preserve">Bajo </v>
      </c>
      <c r="G36" s="28">
        <f>LOOKUP(E36,RANGOS!$I$2:$J$101)</f>
        <v>2</v>
      </c>
    </row>
    <row r="37" spans="1:7" ht="13.8" x14ac:dyDescent="0.3">
      <c r="A37" s="208"/>
      <c r="B37" s="205"/>
      <c r="C37" s="3" t="s">
        <v>220</v>
      </c>
      <c r="D37" s="44">
        <v>105</v>
      </c>
      <c r="E37" s="33">
        <f t="shared" si="7"/>
        <v>8.7866108786610872E-2</v>
      </c>
      <c r="F37" s="28" t="str">
        <f>LOOKUP(G37,RANGOS!$A$9:$B$13)</f>
        <v xml:space="preserve">Bajo </v>
      </c>
      <c r="G37" s="28">
        <f>LOOKUP(E37,RANGOS!$I$2:$J$101)</f>
        <v>2</v>
      </c>
    </row>
    <row r="38" spans="1:7" ht="13.8" x14ac:dyDescent="0.3">
      <c r="A38" s="208"/>
      <c r="B38" s="205"/>
      <c r="C38" s="21" t="s">
        <v>221</v>
      </c>
      <c r="D38" s="45">
        <v>195</v>
      </c>
      <c r="E38" s="35">
        <f t="shared" si="7"/>
        <v>0.16317991631799164</v>
      </c>
      <c r="F38" s="40" t="str">
        <f>LOOKUP(G38,RANGOS!$A$9:$B$13)</f>
        <v xml:space="preserve">Bajo </v>
      </c>
      <c r="G38" s="40">
        <f>LOOKUP(E38,RANGOS!$I$2:$J$101)</f>
        <v>2</v>
      </c>
    </row>
    <row r="39" spans="1:7" ht="13.8" x14ac:dyDescent="0.3">
      <c r="A39" s="208"/>
      <c r="B39" s="205"/>
      <c r="C39" s="21" t="s">
        <v>222</v>
      </c>
      <c r="D39" s="45">
        <v>195</v>
      </c>
      <c r="E39" s="35">
        <f t="shared" si="7"/>
        <v>0.16317991631799164</v>
      </c>
      <c r="F39" s="40" t="str">
        <f>LOOKUP(G39,RANGOS!$A$9:$B$13)</f>
        <v xml:space="preserve">Bajo </v>
      </c>
      <c r="G39" s="40">
        <f>LOOKUP(E39,RANGOS!$I$2:$J$101)</f>
        <v>2</v>
      </c>
    </row>
    <row r="40" spans="1:7" ht="13.8" x14ac:dyDescent="0.3">
      <c r="A40" s="208"/>
      <c r="B40" s="205"/>
      <c r="C40" s="21" t="s">
        <v>223</v>
      </c>
      <c r="D40" s="45">
        <v>195</v>
      </c>
      <c r="E40" s="35">
        <f t="shared" si="7"/>
        <v>0.16317991631799164</v>
      </c>
      <c r="F40" s="40" t="str">
        <f>LOOKUP(G40,RANGOS!$A$9:$B$13)</f>
        <v xml:space="preserve">Bajo </v>
      </c>
      <c r="G40" s="40">
        <f>LOOKUP(E40,RANGOS!$I$2:$J$101)</f>
        <v>2</v>
      </c>
    </row>
    <row r="41" spans="1:7" ht="13.8" x14ac:dyDescent="0.3">
      <c r="A41" s="208"/>
      <c r="B41" s="205"/>
      <c r="C41" s="21" t="s">
        <v>224</v>
      </c>
      <c r="D41" s="45">
        <v>195</v>
      </c>
      <c r="E41" s="35">
        <f t="shared" si="7"/>
        <v>0.16317991631799164</v>
      </c>
      <c r="F41" s="40" t="str">
        <f>LOOKUP(G41,RANGOS!$A$9:$B$13)</f>
        <v xml:space="preserve">Bajo </v>
      </c>
      <c r="G41" s="40">
        <f>LOOKUP(E41,RANGOS!$I$2:$J$101)</f>
        <v>2</v>
      </c>
    </row>
    <row r="42" spans="1:7" ht="13.8" x14ac:dyDescent="0.3">
      <c r="A42" s="208"/>
      <c r="B42" s="205"/>
      <c r="C42" s="21" t="s">
        <v>225</v>
      </c>
      <c r="D42" s="45">
        <v>195</v>
      </c>
      <c r="E42" s="35">
        <f t="shared" si="7"/>
        <v>0.16317991631799164</v>
      </c>
      <c r="F42" s="40" t="str">
        <f>LOOKUP(G42,RANGOS!$A$9:$B$13)</f>
        <v xml:space="preserve">Bajo </v>
      </c>
      <c r="G42" s="40">
        <f>LOOKUP(E42,RANGOS!$I$2:$J$101)</f>
        <v>2</v>
      </c>
    </row>
    <row r="43" spans="1:7" ht="13.8" x14ac:dyDescent="0.3">
      <c r="A43" s="208"/>
      <c r="B43" s="205"/>
      <c r="C43" s="21" t="s">
        <v>226</v>
      </c>
      <c r="D43" s="45">
        <v>195</v>
      </c>
      <c r="E43" s="35">
        <f t="shared" si="7"/>
        <v>0.16317991631799164</v>
      </c>
      <c r="F43" s="40" t="str">
        <f>LOOKUP(G43,RANGOS!$A$9:$B$13)</f>
        <v xml:space="preserve">Bajo </v>
      </c>
      <c r="G43" s="40">
        <f>LOOKUP(E43,RANGOS!$I$2:$J$101)</f>
        <v>2</v>
      </c>
    </row>
    <row r="44" spans="1:7" ht="13.8" x14ac:dyDescent="0.3">
      <c r="A44" s="208"/>
      <c r="B44" s="205"/>
      <c r="C44" s="21" t="s">
        <v>227</v>
      </c>
      <c r="D44" s="45">
        <v>195</v>
      </c>
      <c r="E44" s="35">
        <f t="shared" si="7"/>
        <v>0.16317991631799164</v>
      </c>
      <c r="F44" s="40" t="str">
        <f>LOOKUP(G44,RANGOS!$A$9:$B$13)</f>
        <v xml:space="preserve">Bajo </v>
      </c>
      <c r="G44" s="40">
        <f>LOOKUP(E44,RANGOS!$I$2:$J$101)</f>
        <v>2</v>
      </c>
    </row>
    <row r="45" spans="1:7" ht="13.8" x14ac:dyDescent="0.3">
      <c r="A45" s="208"/>
      <c r="B45" s="205"/>
      <c r="C45" s="21" t="s">
        <v>228</v>
      </c>
      <c r="D45" s="45">
        <v>195</v>
      </c>
      <c r="E45" s="35">
        <f t="shared" si="7"/>
        <v>0.16317991631799164</v>
      </c>
      <c r="F45" s="40" t="str">
        <f>LOOKUP(G45,RANGOS!$A$9:$B$13)</f>
        <v xml:space="preserve">Bajo </v>
      </c>
      <c r="G45" s="40">
        <f>LOOKUP(E45,RANGOS!$I$2:$J$101)</f>
        <v>2</v>
      </c>
    </row>
    <row r="46" spans="1:7" ht="13.8" x14ac:dyDescent="0.3">
      <c r="A46" s="208"/>
      <c r="B46" s="205"/>
      <c r="C46" s="21" t="s">
        <v>229</v>
      </c>
      <c r="D46" s="45">
        <v>195</v>
      </c>
      <c r="E46" s="35">
        <f t="shared" si="7"/>
        <v>0.16317991631799164</v>
      </c>
      <c r="F46" s="40" t="str">
        <f>LOOKUP(G46,RANGOS!$A$9:$B$13)</f>
        <v xml:space="preserve">Bajo </v>
      </c>
      <c r="G46" s="40">
        <f>LOOKUP(E46,RANGOS!$I$2:$J$101)</f>
        <v>2</v>
      </c>
    </row>
    <row r="47" spans="1:7" ht="13.8" x14ac:dyDescent="0.3">
      <c r="A47" s="209"/>
      <c r="B47" s="206"/>
      <c r="C47" s="21" t="s">
        <v>230</v>
      </c>
      <c r="D47" s="45">
        <v>195</v>
      </c>
      <c r="E47" s="35">
        <f t="shared" si="7"/>
        <v>0.16317991631799164</v>
      </c>
      <c r="F47" s="40" t="str">
        <f>LOOKUP(G47,RANGOS!$A$9:$B$13)</f>
        <v xml:space="preserve">Bajo </v>
      </c>
      <c r="G47" s="40">
        <f>LOOKUP(E47,RANGOS!$I$2:$J$101)</f>
        <v>2</v>
      </c>
    </row>
  </sheetData>
  <mergeCells count="11">
    <mergeCell ref="B34:B47"/>
    <mergeCell ref="A6:A47"/>
    <mergeCell ref="F5:G5"/>
    <mergeCell ref="B31:B33"/>
    <mergeCell ref="B17:B20"/>
    <mergeCell ref="B21:B24"/>
    <mergeCell ref="B25:B27"/>
    <mergeCell ref="B6:B9"/>
    <mergeCell ref="B10:B12"/>
    <mergeCell ref="B13:B16"/>
    <mergeCell ref="B28:B3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</sheetPr>
  <dimension ref="A1:R53"/>
  <sheetViews>
    <sheetView topLeftCell="F34" zoomScale="130" zoomScaleNormal="130" workbookViewId="0">
      <selection activeCell="C4" sqref="C4:C11"/>
    </sheetView>
  </sheetViews>
  <sheetFormatPr baseColWidth="10" defaultRowHeight="14.4" x14ac:dyDescent="0.3"/>
  <cols>
    <col min="1" max="1" width="13" customWidth="1"/>
    <col min="2" max="2" width="5.88671875" customWidth="1"/>
    <col min="3" max="3" width="19.33203125" customWidth="1"/>
    <col min="4" max="4" width="4.5546875" customWidth="1"/>
    <col min="5" max="5" width="32.109375" customWidth="1"/>
    <col min="6" max="6" width="11.44140625" customWidth="1"/>
    <col min="7" max="7" width="6.6640625" customWidth="1"/>
    <col min="8" max="8" width="9.5546875" customWidth="1"/>
    <col min="9" max="9" width="6" customWidth="1"/>
    <col min="10" max="10" width="12.5546875" customWidth="1"/>
    <col min="11" max="11" width="6.5546875" customWidth="1"/>
    <col min="12" max="12" width="6.5546875" style="10" customWidth="1"/>
    <col min="13" max="13" width="28.6640625" customWidth="1"/>
    <col min="14" max="14" width="10" style="60" customWidth="1"/>
    <col min="15" max="15" width="5.44140625" style="60" customWidth="1"/>
    <col min="16" max="16" width="12.33203125" customWidth="1"/>
    <col min="17" max="17" width="6.5546875" customWidth="1"/>
    <col min="18" max="18" width="7.33203125" customWidth="1"/>
  </cols>
  <sheetData>
    <row r="1" spans="1:18" ht="20.399999999999999" x14ac:dyDescent="0.35">
      <c r="A1" s="99" t="s">
        <v>181</v>
      </c>
      <c r="B1" s="1"/>
    </row>
    <row r="2" spans="1:18" x14ac:dyDescent="0.3">
      <c r="A2" s="1"/>
      <c r="B2" s="1"/>
    </row>
    <row r="3" spans="1:18" ht="28.5" customHeight="1" x14ac:dyDescent="0.3">
      <c r="A3" s="219" t="s">
        <v>0</v>
      </c>
      <c r="B3" s="219"/>
      <c r="C3" s="219" t="s">
        <v>1</v>
      </c>
      <c r="D3" s="219"/>
      <c r="E3" s="101" t="s">
        <v>2</v>
      </c>
      <c r="F3" s="219" t="s">
        <v>13</v>
      </c>
      <c r="G3" s="219"/>
      <c r="H3" s="219" t="s">
        <v>16</v>
      </c>
      <c r="I3" s="219"/>
      <c r="J3" s="219" t="s">
        <v>29</v>
      </c>
      <c r="K3" s="219"/>
      <c r="L3" s="101" t="s">
        <v>122</v>
      </c>
      <c r="M3" s="101" t="s">
        <v>173</v>
      </c>
      <c r="N3" s="162" t="s">
        <v>157</v>
      </c>
      <c r="O3" s="162"/>
      <c r="P3" s="162" t="s">
        <v>147</v>
      </c>
      <c r="Q3" s="162"/>
      <c r="R3" s="101" t="s">
        <v>122</v>
      </c>
    </row>
    <row r="4" spans="1:18" x14ac:dyDescent="0.3">
      <c r="A4" s="214" t="s">
        <v>193</v>
      </c>
      <c r="B4" s="188">
        <v>0.6</v>
      </c>
      <c r="C4" s="210" t="s">
        <v>4</v>
      </c>
      <c r="D4" s="174">
        <v>0.3</v>
      </c>
      <c r="E4" s="20" t="s">
        <v>73</v>
      </c>
      <c r="F4" s="95" t="str">
        <f>LOOKUP(G4,RANGOS!$A$2:$B$6)</f>
        <v xml:space="preserve">Muy alta </v>
      </c>
      <c r="G4" s="49">
        <v>5</v>
      </c>
      <c r="H4" s="95" t="str">
        <f>LOOKUP(I4,RANGOS!$A$9:$B$13)</f>
        <v xml:space="preserve">Muy alto </v>
      </c>
      <c r="I4" s="55">
        <f>'Data pasivo'!G6</f>
        <v>5</v>
      </c>
      <c r="J4" s="95" t="str">
        <f>LOOKUP(K4,RANGOS!$F$2:$G$26)</f>
        <v xml:space="preserve">MUY ALTO </v>
      </c>
      <c r="K4" s="95">
        <f>G4*I4</f>
        <v>25</v>
      </c>
      <c r="L4" s="168">
        <f>$B$4*$D$4*AVERAGE(K4:K11)</f>
        <v>1.125</v>
      </c>
      <c r="M4" s="157" t="s">
        <v>219</v>
      </c>
      <c r="N4" s="221" t="s">
        <v>17</v>
      </c>
      <c r="O4" s="275">
        <v>3</v>
      </c>
      <c r="P4" s="95" t="str">
        <f>LOOKUP(Q4,RANGOS!$F$2:$G$26)</f>
        <v xml:space="preserve">MEDIO </v>
      </c>
      <c r="Q4" s="67">
        <f>K4/$O$4</f>
        <v>8.3333333333333339</v>
      </c>
      <c r="R4" s="168">
        <f>$B$4*$D$4*AVERAGE(Q4:Q11)</f>
        <v>0.375</v>
      </c>
    </row>
    <row r="5" spans="1:18" x14ac:dyDescent="0.3">
      <c r="A5" s="215"/>
      <c r="B5" s="148"/>
      <c r="C5" s="211"/>
      <c r="D5" s="175"/>
      <c r="E5" s="3" t="s">
        <v>74</v>
      </c>
      <c r="F5" s="27" t="str">
        <f>LOOKUP(G5,RANGOS!$A$2:$B$6)</f>
        <v>Media</v>
      </c>
      <c r="G5" s="47">
        <v>3</v>
      </c>
      <c r="H5" s="27" t="str">
        <f>LOOKUP(I5,RANGOS!$A$9:$B$13)</f>
        <v xml:space="preserve">Bajo </v>
      </c>
      <c r="I5" s="51">
        <f>'Data pasivo'!G7</f>
        <v>2</v>
      </c>
      <c r="J5" s="27" t="str">
        <f>LOOKUP(K5,RANGOS!$F$2:$G$26)</f>
        <v xml:space="preserve">MEDIO </v>
      </c>
      <c r="K5" s="27">
        <f t="shared" ref="K5:K11" si="0">G5*I5</f>
        <v>6</v>
      </c>
      <c r="L5" s="166"/>
      <c r="M5" s="146"/>
      <c r="N5" s="222"/>
      <c r="O5" s="275"/>
      <c r="P5" s="27" t="str">
        <f>LOOKUP(Q5,RANGOS!$F$2:$G$26)</f>
        <v>BAJO</v>
      </c>
      <c r="Q5" s="68">
        <f t="shared" ref="Q5:Q11" si="1">K5/$O$4</f>
        <v>2</v>
      </c>
      <c r="R5" s="166"/>
    </row>
    <row r="6" spans="1:18" x14ac:dyDescent="0.3">
      <c r="A6" s="215"/>
      <c r="B6" s="148"/>
      <c r="C6" s="211"/>
      <c r="D6" s="175"/>
      <c r="E6" s="3" t="s">
        <v>75</v>
      </c>
      <c r="F6" s="27" t="str">
        <f>LOOKUP(G6,RANGOS!$A$2:$B$6)</f>
        <v xml:space="preserve">Baja </v>
      </c>
      <c r="G6" s="47">
        <v>2</v>
      </c>
      <c r="H6" s="27" t="str">
        <f>LOOKUP(I6,RANGOS!$A$9:$B$13)</f>
        <v xml:space="preserve">Muy bajo </v>
      </c>
      <c r="I6" s="51">
        <f>'Data pasivo'!G8</f>
        <v>1</v>
      </c>
      <c r="J6" s="27" t="str">
        <f>LOOKUP(K6,RANGOS!$F$2:$G$26)</f>
        <v>BAJO</v>
      </c>
      <c r="K6" s="27">
        <f t="shared" si="0"/>
        <v>2</v>
      </c>
      <c r="L6" s="166"/>
      <c r="M6" s="146"/>
      <c r="N6" s="222"/>
      <c r="O6" s="275"/>
      <c r="P6" s="27" t="str">
        <f>LOOKUP(Q6,RANGOS!$F$2:$G$26)</f>
        <v xml:space="preserve">MUY BAJO </v>
      </c>
      <c r="Q6" s="68">
        <f t="shared" si="1"/>
        <v>0.66666666666666663</v>
      </c>
      <c r="R6" s="166"/>
    </row>
    <row r="7" spans="1:18" x14ac:dyDescent="0.3">
      <c r="A7" s="215"/>
      <c r="B7" s="148"/>
      <c r="C7" s="211"/>
      <c r="D7" s="175"/>
      <c r="E7" s="3" t="s">
        <v>76</v>
      </c>
      <c r="F7" s="27" t="s">
        <v>14</v>
      </c>
      <c r="G7" s="47">
        <v>3</v>
      </c>
      <c r="H7" s="27" t="str">
        <f>LOOKUP(I7,RANGOS!$A$9:$B$13)</f>
        <v xml:space="preserve">Muy bajo </v>
      </c>
      <c r="I7" s="51">
        <f>'Data pasivo'!G9</f>
        <v>1</v>
      </c>
      <c r="J7" s="27" t="str">
        <f>LOOKUP(K7,RANGOS!$F$2:$G$26)</f>
        <v>BAJO</v>
      </c>
      <c r="K7" s="27">
        <f t="shared" si="0"/>
        <v>3</v>
      </c>
      <c r="L7" s="166"/>
      <c r="M7" s="146"/>
      <c r="N7" s="222"/>
      <c r="O7" s="275"/>
      <c r="P7" s="27" t="str">
        <f>LOOKUP(Q7,RANGOS!$F$2:$G$26)</f>
        <v xml:space="preserve">MUY BAJO </v>
      </c>
      <c r="Q7" s="68">
        <f t="shared" si="1"/>
        <v>1</v>
      </c>
      <c r="R7" s="166"/>
    </row>
    <row r="8" spans="1:18" x14ac:dyDescent="0.3">
      <c r="A8" s="215"/>
      <c r="B8" s="148"/>
      <c r="C8" s="211"/>
      <c r="D8" s="175"/>
      <c r="E8" s="3" t="s">
        <v>77</v>
      </c>
      <c r="F8" s="27" t="str">
        <f>LOOKUP(G8,RANGOS!$A$2:$B$6)</f>
        <v>Media</v>
      </c>
      <c r="G8" s="47">
        <v>3</v>
      </c>
      <c r="H8" s="27" t="str">
        <f>LOOKUP(I8,RANGOS!$A$9:$B$13)</f>
        <v xml:space="preserve">Muy bajo </v>
      </c>
      <c r="I8" s="51">
        <f>'Data pasivo'!G10</f>
        <v>1</v>
      </c>
      <c r="J8" s="27" t="str">
        <f>LOOKUP(K8,RANGOS!$F$2:$G$26)</f>
        <v>BAJO</v>
      </c>
      <c r="K8" s="27">
        <f t="shared" si="0"/>
        <v>3</v>
      </c>
      <c r="L8" s="166"/>
      <c r="M8" s="146"/>
      <c r="N8" s="222"/>
      <c r="O8" s="275"/>
      <c r="P8" s="27" t="str">
        <f>LOOKUP(Q8,RANGOS!$F$2:$G$26)</f>
        <v xml:space="preserve">MUY BAJO </v>
      </c>
      <c r="Q8" s="68">
        <f t="shared" si="1"/>
        <v>1</v>
      </c>
      <c r="R8" s="166"/>
    </row>
    <row r="9" spans="1:18" x14ac:dyDescent="0.3">
      <c r="A9" s="215"/>
      <c r="B9" s="148"/>
      <c r="C9" s="211"/>
      <c r="D9" s="175"/>
      <c r="E9" s="3" t="s">
        <v>78</v>
      </c>
      <c r="F9" s="27" t="str">
        <f>LOOKUP(G9,RANGOS!$A$2:$B$6)</f>
        <v>Media</v>
      </c>
      <c r="G9" s="47">
        <v>3</v>
      </c>
      <c r="H9" s="27" t="str">
        <f>LOOKUP(I9,RANGOS!$A$9:$B$13)</f>
        <v xml:space="preserve">Muy bajo </v>
      </c>
      <c r="I9" s="51">
        <f>'Data pasivo'!G11</f>
        <v>1</v>
      </c>
      <c r="J9" s="27" t="str">
        <f>LOOKUP(K9,RANGOS!$F$2:$G$26)</f>
        <v>BAJO</v>
      </c>
      <c r="K9" s="27">
        <f t="shared" si="0"/>
        <v>3</v>
      </c>
      <c r="L9" s="166"/>
      <c r="M9" s="146"/>
      <c r="N9" s="222"/>
      <c r="O9" s="275"/>
      <c r="P9" s="27" t="str">
        <f>LOOKUP(Q9,RANGOS!$F$2:$G$26)</f>
        <v xml:space="preserve">MUY BAJO </v>
      </c>
      <c r="Q9" s="68">
        <f t="shared" si="1"/>
        <v>1</v>
      </c>
      <c r="R9" s="166"/>
    </row>
    <row r="10" spans="1:18" x14ac:dyDescent="0.3">
      <c r="A10" s="215"/>
      <c r="B10" s="148"/>
      <c r="C10" s="211"/>
      <c r="D10" s="175"/>
      <c r="E10" s="3" t="s">
        <v>79</v>
      </c>
      <c r="F10" s="27" t="s">
        <v>24</v>
      </c>
      <c r="G10" s="47">
        <v>3</v>
      </c>
      <c r="H10" s="27" t="str">
        <f>LOOKUP(I10,RANGOS!$A$9:$B$13)</f>
        <v xml:space="preserve">Muy bajo </v>
      </c>
      <c r="I10" s="51">
        <f>'Data pasivo'!G12</f>
        <v>1</v>
      </c>
      <c r="J10" s="27" t="str">
        <f>LOOKUP(K10,RANGOS!$F$2:$G$26)</f>
        <v>BAJO</v>
      </c>
      <c r="K10" s="27">
        <f t="shared" si="0"/>
        <v>3</v>
      </c>
      <c r="L10" s="166"/>
      <c r="M10" s="146"/>
      <c r="N10" s="222"/>
      <c r="O10" s="275"/>
      <c r="P10" s="27" t="str">
        <f>LOOKUP(Q10,RANGOS!$F$2:$G$26)</f>
        <v xml:space="preserve">MUY BAJO </v>
      </c>
      <c r="Q10" s="68">
        <f t="shared" si="1"/>
        <v>1</v>
      </c>
      <c r="R10" s="166"/>
    </row>
    <row r="11" spans="1:18" x14ac:dyDescent="0.3">
      <c r="A11" s="215"/>
      <c r="B11" s="148"/>
      <c r="C11" s="212"/>
      <c r="D11" s="176"/>
      <c r="E11" s="29" t="s">
        <v>80</v>
      </c>
      <c r="F11" s="96" t="str">
        <f>LOOKUP(G11,RANGOS!$A$2:$B$6)</f>
        <v xml:space="preserve">Muy alta </v>
      </c>
      <c r="G11" s="48">
        <v>5</v>
      </c>
      <c r="H11" s="96" t="str">
        <f>LOOKUP(I11,RANGOS!$A$9:$B$13)</f>
        <v xml:space="preserve">Muy bajo </v>
      </c>
      <c r="I11" s="56">
        <f>'Data pasivo'!G13</f>
        <v>1</v>
      </c>
      <c r="J11" s="96" t="str">
        <f>LOOKUP(K11,RANGOS!$F$2:$G$26)</f>
        <v>BAJO</v>
      </c>
      <c r="K11" s="96">
        <f t="shared" si="0"/>
        <v>5</v>
      </c>
      <c r="L11" s="167"/>
      <c r="M11" s="158"/>
      <c r="N11" s="223"/>
      <c r="O11" s="275"/>
      <c r="P11" s="96" t="str">
        <f>LOOKUP(Q11,RANGOS!$F$2:$G$26)</f>
        <v xml:space="preserve">MUY BAJO </v>
      </c>
      <c r="Q11" s="69">
        <f t="shared" si="1"/>
        <v>1.6666666666666667</v>
      </c>
      <c r="R11" s="167"/>
    </row>
    <row r="12" spans="1:18" x14ac:dyDescent="0.3">
      <c r="A12" s="215"/>
      <c r="B12" s="148"/>
      <c r="C12" s="210" t="s">
        <v>5</v>
      </c>
      <c r="D12" s="174">
        <v>0.1</v>
      </c>
      <c r="E12" s="20" t="s">
        <v>73</v>
      </c>
      <c r="F12" s="95" t="s">
        <v>24</v>
      </c>
      <c r="G12" s="49">
        <v>3</v>
      </c>
      <c r="H12" s="95" t="str">
        <f>LOOKUP(I12,RANGOS!$A$9:$B$13)</f>
        <v>Medio</v>
      </c>
      <c r="I12" s="55">
        <f>'Data pasivo'!G14</f>
        <v>3</v>
      </c>
      <c r="J12" s="95" t="str">
        <f>LOOKUP(K12,RANGOS!$F$2:$G$26)</f>
        <v xml:space="preserve">MEDIO </v>
      </c>
      <c r="K12" s="95">
        <f t="shared" ref="K12:K40" si="2">G12*I12</f>
        <v>9</v>
      </c>
      <c r="L12" s="168">
        <f>$B$4*$D$12*AVERAGE(K12:K19)</f>
        <v>0.28499999999999998</v>
      </c>
      <c r="M12" s="221" t="s">
        <v>217</v>
      </c>
      <c r="N12" s="221" t="s">
        <v>17</v>
      </c>
      <c r="O12" s="275">
        <v>3</v>
      </c>
      <c r="P12" s="95" t="str">
        <f>LOOKUP(Q12,RANGOS!$F$2:$G$26)</f>
        <v>BAJO</v>
      </c>
      <c r="Q12" s="67">
        <f>K12/$O$12</f>
        <v>3</v>
      </c>
      <c r="R12" s="168">
        <f>$B$4*$D$12*AVERAGE(Q12:Q19)</f>
        <v>9.4999999999999987E-2</v>
      </c>
    </row>
    <row r="13" spans="1:18" x14ac:dyDescent="0.3">
      <c r="A13" s="215"/>
      <c r="B13" s="148"/>
      <c r="C13" s="211"/>
      <c r="D13" s="175"/>
      <c r="E13" s="3" t="s">
        <v>74</v>
      </c>
      <c r="F13" s="27" t="str">
        <f>LOOKUP(G13,RANGOS!$A$2:$B$6)</f>
        <v xml:space="preserve">Alta </v>
      </c>
      <c r="G13" s="47">
        <v>4</v>
      </c>
      <c r="H13" s="27" t="str">
        <f>LOOKUP(I13,RANGOS!$A$9:$B$13)</f>
        <v xml:space="preserve">Muy bajo </v>
      </c>
      <c r="I13" s="51">
        <f>'Data pasivo'!G15</f>
        <v>1</v>
      </c>
      <c r="J13" s="27" t="str">
        <f>LOOKUP(K13,RANGOS!$F$2:$G$26)</f>
        <v>BAJO</v>
      </c>
      <c r="K13" s="27">
        <f t="shared" si="2"/>
        <v>4</v>
      </c>
      <c r="L13" s="166"/>
      <c r="M13" s="222"/>
      <c r="N13" s="222"/>
      <c r="O13" s="275"/>
      <c r="P13" s="27" t="str">
        <f>LOOKUP(Q13,RANGOS!$F$2:$G$26)</f>
        <v xml:space="preserve">MUY BAJO </v>
      </c>
      <c r="Q13" s="68">
        <f t="shared" ref="Q13:Q19" si="3">K13/$O$12</f>
        <v>1.3333333333333333</v>
      </c>
      <c r="R13" s="166"/>
    </row>
    <row r="14" spans="1:18" x14ac:dyDescent="0.3">
      <c r="A14" s="215"/>
      <c r="B14" s="148"/>
      <c r="C14" s="211"/>
      <c r="D14" s="175"/>
      <c r="E14" s="3" t="s">
        <v>75</v>
      </c>
      <c r="F14" s="27" t="s">
        <v>23</v>
      </c>
      <c r="G14" s="47">
        <v>1</v>
      </c>
      <c r="H14" s="27" t="str">
        <f>LOOKUP(I14,RANGOS!$A$9:$B$13)</f>
        <v xml:space="preserve">Bajo </v>
      </c>
      <c r="I14" s="51">
        <f>'Data pasivo'!G16</f>
        <v>2</v>
      </c>
      <c r="J14" s="27" t="str">
        <f>LOOKUP(K14,RANGOS!$F$2:$G$26)</f>
        <v>BAJO</v>
      </c>
      <c r="K14" s="27">
        <f t="shared" si="2"/>
        <v>2</v>
      </c>
      <c r="L14" s="166"/>
      <c r="M14" s="222"/>
      <c r="N14" s="222"/>
      <c r="O14" s="275"/>
      <c r="P14" s="27" t="str">
        <f>LOOKUP(Q14,RANGOS!$F$2:$G$26)</f>
        <v xml:space="preserve">MUY BAJO </v>
      </c>
      <c r="Q14" s="68">
        <f t="shared" si="3"/>
        <v>0.66666666666666663</v>
      </c>
      <c r="R14" s="166"/>
    </row>
    <row r="15" spans="1:18" x14ac:dyDescent="0.3">
      <c r="A15" s="215"/>
      <c r="B15" s="148"/>
      <c r="C15" s="211"/>
      <c r="D15" s="175"/>
      <c r="E15" s="3" t="s">
        <v>76</v>
      </c>
      <c r="F15" s="27" t="s">
        <v>24</v>
      </c>
      <c r="G15" s="47">
        <v>3</v>
      </c>
      <c r="H15" s="27" t="str">
        <f>LOOKUP(I15,RANGOS!$A$9:$B$13)</f>
        <v xml:space="preserve">Muy bajo </v>
      </c>
      <c r="I15" s="51">
        <f>'Data pasivo'!G17</f>
        <v>1</v>
      </c>
      <c r="J15" s="27" t="str">
        <f>LOOKUP(K15,RANGOS!$F$2:$G$26)</f>
        <v>BAJO</v>
      </c>
      <c r="K15" s="27">
        <f t="shared" si="2"/>
        <v>3</v>
      </c>
      <c r="L15" s="166"/>
      <c r="M15" s="222"/>
      <c r="N15" s="222"/>
      <c r="O15" s="275"/>
      <c r="P15" s="27" t="str">
        <f>LOOKUP(Q15,RANGOS!$F$2:$G$26)</f>
        <v xml:space="preserve">MUY BAJO </v>
      </c>
      <c r="Q15" s="68">
        <f t="shared" si="3"/>
        <v>1</v>
      </c>
      <c r="R15" s="166"/>
    </row>
    <row r="16" spans="1:18" x14ac:dyDescent="0.3">
      <c r="A16" s="215"/>
      <c r="B16" s="148"/>
      <c r="C16" s="211"/>
      <c r="D16" s="175"/>
      <c r="E16" s="3" t="s">
        <v>77</v>
      </c>
      <c r="F16" s="27" t="str">
        <f>LOOKUP(G16,RANGOS!$A$2:$B$6)</f>
        <v xml:space="preserve">Muy baja </v>
      </c>
      <c r="G16" s="47">
        <v>1</v>
      </c>
      <c r="H16" s="27" t="str">
        <f>LOOKUP(I16,RANGOS!$A$9:$B$13)</f>
        <v>Medio</v>
      </c>
      <c r="I16" s="51">
        <f>'Data pasivo'!G18</f>
        <v>3</v>
      </c>
      <c r="J16" s="27" t="str">
        <f>LOOKUP(K16,RANGOS!$F$2:$G$26)</f>
        <v>BAJO</v>
      </c>
      <c r="K16" s="27">
        <f t="shared" si="2"/>
        <v>3</v>
      </c>
      <c r="L16" s="166"/>
      <c r="M16" s="222"/>
      <c r="N16" s="222"/>
      <c r="O16" s="275"/>
      <c r="P16" s="27" t="str">
        <f>LOOKUP(Q16,RANGOS!$F$2:$G$26)</f>
        <v xml:space="preserve">MUY BAJO </v>
      </c>
      <c r="Q16" s="68">
        <f t="shared" si="3"/>
        <v>1</v>
      </c>
      <c r="R16" s="166"/>
    </row>
    <row r="17" spans="1:18" x14ac:dyDescent="0.3">
      <c r="A17" s="215"/>
      <c r="B17" s="148"/>
      <c r="C17" s="211"/>
      <c r="D17" s="175"/>
      <c r="E17" s="3" t="s">
        <v>78</v>
      </c>
      <c r="F17" s="27" t="str">
        <f>LOOKUP(G17,RANGOS!$A$2:$B$6)</f>
        <v>Media</v>
      </c>
      <c r="G17" s="47">
        <v>3</v>
      </c>
      <c r="H17" s="27" t="str">
        <f>LOOKUP(I17,RANGOS!$A$9:$B$13)</f>
        <v xml:space="preserve">Muy bajo </v>
      </c>
      <c r="I17" s="51">
        <f>'Data pasivo'!G19</f>
        <v>1</v>
      </c>
      <c r="J17" s="27" t="str">
        <f>LOOKUP(K17,RANGOS!$F$2:$G$26)</f>
        <v>BAJO</v>
      </c>
      <c r="K17" s="27">
        <f t="shared" si="2"/>
        <v>3</v>
      </c>
      <c r="L17" s="166"/>
      <c r="M17" s="222"/>
      <c r="N17" s="222"/>
      <c r="O17" s="275"/>
      <c r="P17" s="27" t="str">
        <f>LOOKUP(Q17,RANGOS!$F$2:$G$26)</f>
        <v xml:space="preserve">MUY BAJO </v>
      </c>
      <c r="Q17" s="68">
        <f t="shared" si="3"/>
        <v>1</v>
      </c>
      <c r="R17" s="166"/>
    </row>
    <row r="18" spans="1:18" x14ac:dyDescent="0.3">
      <c r="A18" s="215"/>
      <c r="B18" s="148"/>
      <c r="C18" s="211"/>
      <c r="D18" s="175"/>
      <c r="E18" s="3" t="s">
        <v>79</v>
      </c>
      <c r="F18" s="27" t="str">
        <f>LOOKUP(G18,RANGOS!$A$2:$B$6)</f>
        <v>Media</v>
      </c>
      <c r="G18" s="47">
        <v>3</v>
      </c>
      <c r="H18" s="27" t="str">
        <f>LOOKUP(I18,RANGOS!$A$9:$B$13)</f>
        <v>Medio</v>
      </c>
      <c r="I18" s="51">
        <f>'Data pasivo'!G20</f>
        <v>3</v>
      </c>
      <c r="J18" s="27" t="str">
        <f>LOOKUP(K18,RANGOS!$F$2:$G$26)</f>
        <v xml:space="preserve">MEDIO </v>
      </c>
      <c r="K18" s="27">
        <f t="shared" si="2"/>
        <v>9</v>
      </c>
      <c r="L18" s="166"/>
      <c r="M18" s="222"/>
      <c r="N18" s="222"/>
      <c r="O18" s="275"/>
      <c r="P18" s="27" t="str">
        <f>LOOKUP(Q18,RANGOS!$F$2:$G$26)</f>
        <v>BAJO</v>
      </c>
      <c r="Q18" s="68">
        <f t="shared" si="3"/>
        <v>3</v>
      </c>
      <c r="R18" s="166"/>
    </row>
    <row r="19" spans="1:18" x14ac:dyDescent="0.3">
      <c r="A19" s="215"/>
      <c r="B19" s="148"/>
      <c r="C19" s="212"/>
      <c r="D19" s="176"/>
      <c r="E19" s="29" t="s">
        <v>80</v>
      </c>
      <c r="F19" s="96" t="str">
        <f>LOOKUP(G19,RANGOS!$A$2:$B$6)</f>
        <v xml:space="preserve">Muy alta </v>
      </c>
      <c r="G19" s="48">
        <v>5</v>
      </c>
      <c r="H19" s="96" t="str">
        <f>LOOKUP(I19,RANGOS!$A$9:$B$13)</f>
        <v xml:space="preserve">Muy bajo </v>
      </c>
      <c r="I19" s="56">
        <f>'Data pasivo'!G21</f>
        <v>1</v>
      </c>
      <c r="J19" s="96" t="str">
        <f>LOOKUP(K19,RANGOS!$F$2:$G$26)</f>
        <v>BAJO</v>
      </c>
      <c r="K19" s="96">
        <f t="shared" si="2"/>
        <v>5</v>
      </c>
      <c r="L19" s="167"/>
      <c r="M19" s="223"/>
      <c r="N19" s="223"/>
      <c r="O19" s="275"/>
      <c r="P19" s="96" t="str">
        <f>LOOKUP(Q19,RANGOS!$F$2:$G$26)</f>
        <v xml:space="preserve">MUY BAJO </v>
      </c>
      <c r="Q19" s="69">
        <f t="shared" si="3"/>
        <v>1.6666666666666667</v>
      </c>
      <c r="R19" s="167"/>
    </row>
    <row r="20" spans="1:18" x14ac:dyDescent="0.3">
      <c r="A20" s="215"/>
      <c r="B20" s="148"/>
      <c r="C20" s="205" t="s">
        <v>129</v>
      </c>
      <c r="D20" s="175">
        <v>0.15</v>
      </c>
      <c r="E20" s="41" t="s">
        <v>81</v>
      </c>
      <c r="F20" s="27" t="s">
        <v>22</v>
      </c>
      <c r="G20" s="47">
        <v>1</v>
      </c>
      <c r="H20" s="27" t="str">
        <f>LOOKUP(I20,RANGOS!$A$9:$B$13)</f>
        <v xml:space="preserve">Muy bajo </v>
      </c>
      <c r="I20" s="51">
        <f>'Data pasivo'!G22</f>
        <v>1</v>
      </c>
      <c r="J20" s="27" t="str">
        <f>LOOKUP(K20,RANGOS!$F$2:$G$26)</f>
        <v xml:space="preserve">MUY BAJO </v>
      </c>
      <c r="K20" s="27">
        <f t="shared" si="2"/>
        <v>1</v>
      </c>
      <c r="L20" s="166">
        <f>$B$4*$D$20*AVERAGE(K20:K22)</f>
        <v>0.65999999999999992</v>
      </c>
      <c r="M20" s="225"/>
      <c r="N20" s="160" t="str">
        <f>LOOKUP(O20,RANGOS!$F$2:$G$26)</f>
        <v xml:space="preserve">MUY BAJO </v>
      </c>
      <c r="O20" s="196">
        <v>1</v>
      </c>
      <c r="P20" s="27" t="str">
        <f>LOOKUP(Q20,RANGOS!$F$2:$G$26)</f>
        <v xml:space="preserve">MUY BAJO </v>
      </c>
      <c r="Q20" s="68">
        <f>K20/$O$20</f>
        <v>1</v>
      </c>
      <c r="R20" s="166">
        <f>$B$4*$D$20*AVERAGE(Q20:Q22)</f>
        <v>0.65999999999999992</v>
      </c>
    </row>
    <row r="21" spans="1:18" x14ac:dyDescent="0.3">
      <c r="A21" s="215"/>
      <c r="B21" s="148"/>
      <c r="C21" s="205"/>
      <c r="D21" s="175"/>
      <c r="E21" s="42" t="s">
        <v>82</v>
      </c>
      <c r="F21" s="27" t="str">
        <f>LOOKUP(G21,RANGOS!$A$2:$B$6)</f>
        <v>Media</v>
      </c>
      <c r="G21" s="47">
        <v>3</v>
      </c>
      <c r="H21" s="27" t="str">
        <f>LOOKUP(I21,RANGOS!$A$9:$B$13)</f>
        <v>Medio</v>
      </c>
      <c r="I21" s="51">
        <f>'Data pasivo'!G23</f>
        <v>3</v>
      </c>
      <c r="J21" s="27" t="str">
        <f>LOOKUP(K21,RANGOS!$F$2:$G$26)</f>
        <v xml:space="preserve">MEDIO </v>
      </c>
      <c r="K21" s="27">
        <f t="shared" si="2"/>
        <v>9</v>
      </c>
      <c r="L21" s="166"/>
      <c r="M21" s="225"/>
      <c r="N21" s="160"/>
      <c r="O21" s="196"/>
      <c r="P21" s="27" t="str">
        <f>LOOKUP(Q21,RANGOS!$F$2:$G$26)</f>
        <v xml:space="preserve">MEDIO </v>
      </c>
      <c r="Q21" s="68">
        <f t="shared" ref="Q21:Q22" si="4">K21/$O$20</f>
        <v>9</v>
      </c>
      <c r="R21" s="166"/>
    </row>
    <row r="22" spans="1:18" x14ac:dyDescent="0.3">
      <c r="A22" s="215"/>
      <c r="B22" s="148"/>
      <c r="C22" s="206"/>
      <c r="D22" s="176"/>
      <c r="E22" s="29" t="s">
        <v>83</v>
      </c>
      <c r="F22" s="96" t="s">
        <v>24</v>
      </c>
      <c r="G22" s="48">
        <v>4</v>
      </c>
      <c r="H22" s="96" t="str">
        <f>LOOKUP(I22,RANGOS!$A$9:$B$13)</f>
        <v>Medio</v>
      </c>
      <c r="I22" s="56">
        <f>'Data pasivo'!G24</f>
        <v>3</v>
      </c>
      <c r="J22" s="96" t="str">
        <f>LOOKUP(K22,RANGOS!$F$2:$G$26)</f>
        <v xml:space="preserve">ALTO </v>
      </c>
      <c r="K22" s="96">
        <f t="shared" si="2"/>
        <v>12</v>
      </c>
      <c r="L22" s="167"/>
      <c r="M22" s="226"/>
      <c r="N22" s="161"/>
      <c r="O22" s="197"/>
      <c r="P22" s="96" t="str">
        <f>LOOKUP(Q22,RANGOS!$F$2:$G$26)</f>
        <v xml:space="preserve">ALTO </v>
      </c>
      <c r="Q22" s="69">
        <f t="shared" si="4"/>
        <v>12</v>
      </c>
      <c r="R22" s="167"/>
    </row>
    <row r="23" spans="1:18" x14ac:dyDescent="0.3">
      <c r="A23" s="215"/>
      <c r="B23" s="148"/>
      <c r="C23" s="205" t="s">
        <v>131</v>
      </c>
      <c r="D23" s="175">
        <v>0.1</v>
      </c>
      <c r="E23" s="41" t="s">
        <v>81</v>
      </c>
      <c r="F23" s="27" t="s">
        <v>24</v>
      </c>
      <c r="G23" s="47">
        <v>4</v>
      </c>
      <c r="H23" s="27" t="str">
        <f>LOOKUP(I23,RANGOS!$A$9:$B$13)</f>
        <v>Alto</v>
      </c>
      <c r="I23" s="51">
        <f>'Data pasivo'!G25</f>
        <v>4</v>
      </c>
      <c r="J23" s="27" t="str">
        <f>LOOKUP(K23,RANGOS!$F$2:$G$26)</f>
        <v xml:space="preserve">ALTO </v>
      </c>
      <c r="K23" s="27">
        <f t="shared" si="2"/>
        <v>16</v>
      </c>
      <c r="L23" s="166">
        <f>$B$4*$D$23*AVERAGE(K23:K25)</f>
        <v>0.7</v>
      </c>
      <c r="M23" s="225"/>
      <c r="N23" s="160" t="str">
        <f>LOOKUP(O23,RANGOS!$F$2:$G$26)</f>
        <v xml:space="preserve">MUY BAJO </v>
      </c>
      <c r="O23" s="196">
        <v>1</v>
      </c>
      <c r="P23" s="27" t="str">
        <f>LOOKUP(Q23,RANGOS!$F$2:$G$26)</f>
        <v xml:space="preserve">ALTO </v>
      </c>
      <c r="Q23" s="68">
        <f>K23/$O$23</f>
        <v>16</v>
      </c>
      <c r="R23" s="166">
        <f>$B$4*$D$23*AVERAGE(Q23:Q25)</f>
        <v>0.7</v>
      </c>
    </row>
    <row r="24" spans="1:18" x14ac:dyDescent="0.3">
      <c r="A24" s="215"/>
      <c r="B24" s="148"/>
      <c r="C24" s="205"/>
      <c r="D24" s="175"/>
      <c r="E24" s="42" t="s">
        <v>84</v>
      </c>
      <c r="F24" s="27" t="s">
        <v>24</v>
      </c>
      <c r="G24" s="47">
        <v>4</v>
      </c>
      <c r="H24" s="27" t="str">
        <f>LOOKUP(I24,RANGOS!$A$9:$B$13)</f>
        <v xml:space="preserve">Muy bajo </v>
      </c>
      <c r="I24" s="51">
        <f>'Data pasivo'!G26</f>
        <v>1</v>
      </c>
      <c r="J24" s="27" t="str">
        <f>LOOKUP(K24,RANGOS!$F$2:$G$26)</f>
        <v>BAJO</v>
      </c>
      <c r="K24" s="27">
        <f t="shared" si="2"/>
        <v>4</v>
      </c>
      <c r="L24" s="166"/>
      <c r="M24" s="225"/>
      <c r="N24" s="160"/>
      <c r="O24" s="196"/>
      <c r="P24" s="27" t="str">
        <f>LOOKUP(Q24,RANGOS!$F$2:$G$26)</f>
        <v>BAJO</v>
      </c>
      <c r="Q24" s="68">
        <f t="shared" ref="Q24:Q25" si="5">K24/$O$23</f>
        <v>4</v>
      </c>
      <c r="R24" s="166"/>
    </row>
    <row r="25" spans="1:18" x14ac:dyDescent="0.3">
      <c r="A25" s="215"/>
      <c r="B25" s="148"/>
      <c r="C25" s="206"/>
      <c r="D25" s="175"/>
      <c r="E25" s="29" t="s">
        <v>182</v>
      </c>
      <c r="F25" s="27" t="s">
        <v>25</v>
      </c>
      <c r="G25" s="47">
        <v>5</v>
      </c>
      <c r="H25" s="27" t="str">
        <f>LOOKUP(I25,RANGOS!$A$9:$B$13)</f>
        <v>Medio</v>
      </c>
      <c r="I25" s="56">
        <f>'Data pasivo'!G27</f>
        <v>3</v>
      </c>
      <c r="J25" s="27" t="str">
        <f>LOOKUP(K25,RANGOS!$F$2:$G$26)</f>
        <v xml:space="preserve">ALTO </v>
      </c>
      <c r="K25" s="27">
        <f t="shared" si="2"/>
        <v>15</v>
      </c>
      <c r="L25" s="166"/>
      <c r="M25" s="226"/>
      <c r="N25" s="161"/>
      <c r="O25" s="196"/>
      <c r="P25" s="27" t="str">
        <f>LOOKUP(Q25,RANGOS!$F$2:$G$26)</f>
        <v xml:space="preserve">ALTO </v>
      </c>
      <c r="Q25" s="69">
        <f t="shared" si="5"/>
        <v>15</v>
      </c>
      <c r="R25" s="166"/>
    </row>
    <row r="26" spans="1:18" x14ac:dyDescent="0.3">
      <c r="A26" s="215"/>
      <c r="B26" s="148"/>
      <c r="C26" s="204" t="s">
        <v>130</v>
      </c>
      <c r="D26" s="174">
        <v>0.1</v>
      </c>
      <c r="E26" s="41" t="s">
        <v>81</v>
      </c>
      <c r="F26" s="95" t="str">
        <f>LOOKUP(G26,RANGOS!$A$2:$B$6)</f>
        <v xml:space="preserve">Muy alta </v>
      </c>
      <c r="G26" s="49">
        <v>5</v>
      </c>
      <c r="H26" s="95" t="str">
        <f>LOOKUP(I26,RANGOS!$A$9:$B$13)</f>
        <v xml:space="preserve">Muy bajo </v>
      </c>
      <c r="I26" s="51">
        <f>'Data pasivo'!G28</f>
        <v>1</v>
      </c>
      <c r="J26" s="95" t="str">
        <f>LOOKUP(K26,RANGOS!$F$2:$G$26)</f>
        <v>BAJO</v>
      </c>
      <c r="K26" s="95">
        <f t="shared" ref="K26:K28" si="6">G26*I26</f>
        <v>5</v>
      </c>
      <c r="L26" s="168">
        <f>$B$4*$D$26*AVERAGE(K26:K28)</f>
        <v>0.8</v>
      </c>
      <c r="M26" s="227"/>
      <c r="N26" s="159" t="str">
        <f>LOOKUP(O26,RANGOS!$F$2:$G$26)</f>
        <v xml:space="preserve">MUY BAJO </v>
      </c>
      <c r="O26" s="195">
        <v>1</v>
      </c>
      <c r="P26" s="95" t="str">
        <f>LOOKUP(Q26,RANGOS!$F$2:$G$26)</f>
        <v>BAJO</v>
      </c>
      <c r="Q26" s="68">
        <f>K26/$O$26</f>
        <v>5</v>
      </c>
      <c r="R26" s="168">
        <f>$B$4*$D$26*AVERAGE(Q26:Q28)</f>
        <v>0.8</v>
      </c>
    </row>
    <row r="27" spans="1:18" x14ac:dyDescent="0.3">
      <c r="A27" s="215"/>
      <c r="B27" s="148"/>
      <c r="C27" s="205"/>
      <c r="D27" s="175"/>
      <c r="E27" s="42" t="s">
        <v>84</v>
      </c>
      <c r="F27" s="27" t="str">
        <f>LOOKUP(G27,RANGOS!$A$2:$B$6)</f>
        <v xml:space="preserve">Muy alta </v>
      </c>
      <c r="G27" s="47">
        <v>5</v>
      </c>
      <c r="H27" s="27" t="str">
        <f>LOOKUP(I27,RANGOS!$A$9:$B$13)</f>
        <v>Medio</v>
      </c>
      <c r="I27" s="51">
        <f>'Data pasivo'!G29</f>
        <v>3</v>
      </c>
      <c r="J27" s="27" t="str">
        <f>LOOKUP(K27,RANGOS!$F$2:$G$26)</f>
        <v xml:space="preserve">ALTO </v>
      </c>
      <c r="K27" s="27">
        <f t="shared" si="6"/>
        <v>15</v>
      </c>
      <c r="L27" s="166"/>
      <c r="M27" s="225"/>
      <c r="N27" s="160"/>
      <c r="O27" s="196"/>
      <c r="P27" s="27" t="str">
        <f>LOOKUP(Q27,RANGOS!$F$2:$G$26)</f>
        <v xml:space="preserve">ALTO </v>
      </c>
      <c r="Q27" s="68">
        <f t="shared" ref="Q27:Q28" si="7">K27/$O$26</f>
        <v>15</v>
      </c>
      <c r="R27" s="166"/>
    </row>
    <row r="28" spans="1:18" x14ac:dyDescent="0.3">
      <c r="A28" s="215"/>
      <c r="B28" s="148"/>
      <c r="C28" s="205"/>
      <c r="D28" s="175"/>
      <c r="E28" s="29" t="s">
        <v>140</v>
      </c>
      <c r="F28" s="27" t="str">
        <f>LOOKUP(G28,RANGOS!$A$2:$B$6)</f>
        <v xml:space="preserve">Muy alta </v>
      </c>
      <c r="G28" s="47">
        <v>5</v>
      </c>
      <c r="H28" s="27" t="str">
        <f>LOOKUP(I28,RANGOS!$A$9:$B$13)</f>
        <v>Alto</v>
      </c>
      <c r="I28" s="51">
        <f>'Data pasivo'!G30</f>
        <v>4</v>
      </c>
      <c r="J28" s="27" t="str">
        <f>LOOKUP(K28,RANGOS!$F$2:$G$26)</f>
        <v xml:space="preserve">ALTO </v>
      </c>
      <c r="K28" s="27">
        <f t="shared" si="6"/>
        <v>20</v>
      </c>
      <c r="L28" s="166"/>
      <c r="M28" s="225"/>
      <c r="N28" s="160"/>
      <c r="O28" s="196"/>
      <c r="P28" s="27" t="str">
        <f>LOOKUP(Q28,RANGOS!$F$2:$G$26)</f>
        <v xml:space="preserve">ALTO </v>
      </c>
      <c r="Q28" s="69">
        <f t="shared" si="7"/>
        <v>20</v>
      </c>
      <c r="R28" s="166"/>
    </row>
    <row r="29" spans="1:18" x14ac:dyDescent="0.3">
      <c r="A29" s="215"/>
      <c r="B29" s="148"/>
      <c r="C29" s="210" t="s">
        <v>126</v>
      </c>
      <c r="D29" s="174">
        <v>0.05</v>
      </c>
      <c r="E29" s="20" t="s">
        <v>10</v>
      </c>
      <c r="F29" s="95" t="str">
        <f>LOOKUP(G29,RANGOS!$A$2:$B$6)</f>
        <v xml:space="preserve">Muy alta </v>
      </c>
      <c r="G29" s="49">
        <v>5</v>
      </c>
      <c r="H29" s="95" t="str">
        <f>LOOKUP(I29,RANGOS!$A$9:$B$13)</f>
        <v xml:space="preserve">Bajo </v>
      </c>
      <c r="I29" s="55">
        <f>'Data pasivo'!G31</f>
        <v>2</v>
      </c>
      <c r="J29" s="95" t="str">
        <f>LOOKUP(K29,RANGOS!$F$2:$G$26)</f>
        <v xml:space="preserve">MEDIO </v>
      </c>
      <c r="K29" s="95">
        <f t="shared" si="2"/>
        <v>10</v>
      </c>
      <c r="L29" s="168">
        <f>$B$4*$D$29*AVERAGE(K29:K31)</f>
        <v>0.4</v>
      </c>
      <c r="M29" s="231"/>
      <c r="N29" s="221" t="str">
        <f>LOOKUP(O29,RANGOS!$F$2:$G$26)</f>
        <v xml:space="preserve">MUY BAJO </v>
      </c>
      <c r="O29" s="195">
        <v>1</v>
      </c>
      <c r="P29" s="95" t="str">
        <f>LOOKUP(Q29,RANGOS!$F$2:$G$26)</f>
        <v xml:space="preserve">MEDIO </v>
      </c>
      <c r="Q29" s="68">
        <f>K29/$O$29</f>
        <v>10</v>
      </c>
      <c r="R29" s="168">
        <f>$B$4*$D$29*AVERAGE(Q29:Q31)</f>
        <v>0.4</v>
      </c>
    </row>
    <row r="30" spans="1:18" x14ac:dyDescent="0.3">
      <c r="A30" s="215"/>
      <c r="B30" s="148"/>
      <c r="C30" s="211"/>
      <c r="D30" s="175"/>
      <c r="E30" s="3" t="s">
        <v>11</v>
      </c>
      <c r="F30" s="27" t="str">
        <f>LOOKUP(G30,RANGOS!$A$2:$B$6)</f>
        <v xml:space="preserve">Muy alta </v>
      </c>
      <c r="G30" s="47">
        <v>5</v>
      </c>
      <c r="H30" s="27" t="str">
        <f>LOOKUP(I30,RANGOS!$A$9:$B$13)</f>
        <v xml:space="preserve">Muy alto </v>
      </c>
      <c r="I30" s="51">
        <f>'Data pasivo'!G32</f>
        <v>5</v>
      </c>
      <c r="J30" s="27" t="str">
        <f>LOOKUP(K30,RANGOS!$F$2:$G$26)</f>
        <v xml:space="preserve">MUY ALTO </v>
      </c>
      <c r="K30" s="27">
        <f t="shared" si="2"/>
        <v>25</v>
      </c>
      <c r="L30" s="166"/>
      <c r="M30" s="232"/>
      <c r="N30" s="222"/>
      <c r="O30" s="196"/>
      <c r="P30" s="27" t="str">
        <f>LOOKUP(Q30,RANGOS!$F$2:$G$26)</f>
        <v xml:space="preserve">MUY ALTO </v>
      </c>
      <c r="Q30" s="68">
        <f t="shared" ref="Q30:Q31" si="8">K30/$O$29</f>
        <v>25</v>
      </c>
      <c r="R30" s="166"/>
    </row>
    <row r="31" spans="1:18" x14ac:dyDescent="0.3">
      <c r="A31" s="215"/>
      <c r="B31" s="148"/>
      <c r="C31" s="212"/>
      <c r="D31" s="176"/>
      <c r="E31" s="29" t="s">
        <v>12</v>
      </c>
      <c r="F31" s="96" t="str">
        <f>LOOKUP(G31,RANGOS!$A$2:$B$6)</f>
        <v xml:space="preserve">Muy alta </v>
      </c>
      <c r="G31" s="48">
        <v>5</v>
      </c>
      <c r="H31" s="96" t="str">
        <f>LOOKUP(I31,RANGOS!$A$9:$B$13)</f>
        <v xml:space="preserve">Muy bajo </v>
      </c>
      <c r="I31" s="56">
        <f>'Data pasivo'!G33</f>
        <v>1</v>
      </c>
      <c r="J31" s="96" t="str">
        <f>LOOKUP(K31,RANGOS!$F$2:$G$26)</f>
        <v>BAJO</v>
      </c>
      <c r="K31" s="96">
        <f t="shared" si="2"/>
        <v>5</v>
      </c>
      <c r="L31" s="167"/>
      <c r="M31" s="233"/>
      <c r="N31" s="223"/>
      <c r="O31" s="197"/>
      <c r="P31" s="96" t="str">
        <f>LOOKUP(Q31,RANGOS!$F$2:$G$26)</f>
        <v>BAJO</v>
      </c>
      <c r="Q31" s="69">
        <f t="shared" si="8"/>
        <v>5</v>
      </c>
      <c r="R31" s="167"/>
    </row>
    <row r="32" spans="1:18" x14ac:dyDescent="0.3">
      <c r="A32" s="215"/>
      <c r="B32" s="148"/>
      <c r="C32" s="210" t="s">
        <v>127</v>
      </c>
      <c r="D32" s="174">
        <v>0.05</v>
      </c>
      <c r="E32" s="20" t="s">
        <v>85</v>
      </c>
      <c r="F32" s="95" t="str">
        <f>LOOKUP(G32,RANGOS!$A$2:$B$6)</f>
        <v xml:space="preserve">Muy alta </v>
      </c>
      <c r="G32" s="49">
        <v>5</v>
      </c>
      <c r="H32" s="95" t="str">
        <f>LOOKUP(I32,RANGOS!$A$9:$B$13)</f>
        <v xml:space="preserve">Muy alto </v>
      </c>
      <c r="I32" s="55">
        <f>'Data pasivo'!G34</f>
        <v>5</v>
      </c>
      <c r="J32" s="95" t="str">
        <f>LOOKUP(K32,RANGOS!$F$2:$G$26)</f>
        <v xml:space="preserve">MUY ALTO </v>
      </c>
      <c r="K32" s="95">
        <f t="shared" si="2"/>
        <v>25</v>
      </c>
      <c r="L32" s="168">
        <f>$B$4*$D$32*AVERAGE(K32:K33)</f>
        <v>0.52500000000000002</v>
      </c>
      <c r="M32" s="231"/>
      <c r="N32" s="221" t="str">
        <f>LOOKUP(O32,RANGOS!$F$2:$G$26)</f>
        <v xml:space="preserve">MUY BAJO </v>
      </c>
      <c r="O32" s="195">
        <v>1</v>
      </c>
      <c r="P32" s="95" t="str">
        <f>LOOKUP(Q32,RANGOS!$F$2:$G$26)</f>
        <v xml:space="preserve">MUY ALTO </v>
      </c>
      <c r="Q32" s="68">
        <f>K32/$O$32</f>
        <v>25</v>
      </c>
      <c r="R32" s="168">
        <f>$B$4*$D$32*AVERAGE(Q32:Q33)</f>
        <v>0.52500000000000002</v>
      </c>
    </row>
    <row r="33" spans="1:18" x14ac:dyDescent="0.3">
      <c r="A33" s="215"/>
      <c r="B33" s="148"/>
      <c r="C33" s="212"/>
      <c r="D33" s="176"/>
      <c r="E33" s="29" t="s">
        <v>86</v>
      </c>
      <c r="F33" s="96" t="str">
        <f>LOOKUP(G33,RANGOS!$A$2:$B$6)</f>
        <v xml:space="preserve">Muy alta </v>
      </c>
      <c r="G33" s="48">
        <v>5</v>
      </c>
      <c r="H33" s="96" t="str">
        <f>LOOKUP(I33,RANGOS!$A$9:$B$13)</f>
        <v xml:space="preserve">Bajo </v>
      </c>
      <c r="I33" s="56">
        <f>'Data pasivo'!G35</f>
        <v>2</v>
      </c>
      <c r="J33" s="96" t="str">
        <f>LOOKUP(K33,RANGOS!$F$2:$G$26)</f>
        <v xml:space="preserve">MEDIO </v>
      </c>
      <c r="K33" s="96">
        <f t="shared" si="2"/>
        <v>10</v>
      </c>
      <c r="L33" s="167"/>
      <c r="M33" s="233"/>
      <c r="N33" s="223"/>
      <c r="O33" s="197"/>
      <c r="P33" s="96" t="str">
        <f>LOOKUP(Q33,RANGOS!$F$2:$G$26)</f>
        <v xml:space="preserve">MEDIO </v>
      </c>
      <c r="Q33" s="69">
        <f>K33/$O$32</f>
        <v>10</v>
      </c>
      <c r="R33" s="167"/>
    </row>
    <row r="34" spans="1:18" x14ac:dyDescent="0.3">
      <c r="A34" s="215"/>
      <c r="B34" s="148"/>
      <c r="C34" s="211" t="s">
        <v>128</v>
      </c>
      <c r="D34" s="175">
        <v>0.05</v>
      </c>
      <c r="E34" s="20" t="s">
        <v>87</v>
      </c>
      <c r="F34" s="27" t="str">
        <f>LOOKUP(G34,RANGOS!$A$2:$B$6)</f>
        <v xml:space="preserve">Muy alta </v>
      </c>
      <c r="G34" s="47">
        <v>5</v>
      </c>
      <c r="H34" s="27" t="str">
        <f>LOOKUP(I34,RANGOS!$A$9:$B$13)</f>
        <v>Alto</v>
      </c>
      <c r="I34" s="51">
        <f>'Data pasivo'!G36</f>
        <v>4</v>
      </c>
      <c r="J34" s="27" t="str">
        <f>LOOKUP(K34,RANGOS!$F$2:$G$26)</f>
        <v xml:space="preserve">ALTO </v>
      </c>
      <c r="K34" s="27">
        <f t="shared" si="2"/>
        <v>20</v>
      </c>
      <c r="L34" s="166">
        <f>$B$4*$D$34*AVERAGE(K34:K37)</f>
        <v>0.33749999999999997</v>
      </c>
      <c r="M34" s="222"/>
      <c r="N34" s="222" t="str">
        <f>LOOKUP(O34,RANGOS!$F$2:$G$26)</f>
        <v xml:space="preserve">MUY BAJO </v>
      </c>
      <c r="O34" s="196">
        <v>1</v>
      </c>
      <c r="P34" s="27" t="str">
        <f>LOOKUP(Q34,RANGOS!$F$2:$G$26)</f>
        <v xml:space="preserve">ALTO </v>
      </c>
      <c r="Q34" s="10">
        <f>K34/$O$34</f>
        <v>20</v>
      </c>
      <c r="R34" s="166">
        <f>$B$4*$D$34*AVERAGE(Q34:Q37)</f>
        <v>0.33749999999999997</v>
      </c>
    </row>
    <row r="35" spans="1:18" x14ac:dyDescent="0.3">
      <c r="A35" s="215"/>
      <c r="B35" s="148"/>
      <c r="C35" s="211"/>
      <c r="D35" s="175"/>
      <c r="E35" s="3" t="s">
        <v>88</v>
      </c>
      <c r="F35" s="27" t="str">
        <f>LOOKUP(G35,RANGOS!$A$2:$B$6)</f>
        <v xml:space="preserve">Muy alta </v>
      </c>
      <c r="G35" s="47">
        <v>5</v>
      </c>
      <c r="H35" s="27" t="str">
        <f>LOOKUP(I35,RANGOS!$A$9:$B$13)</f>
        <v xml:space="preserve">Muy bajo </v>
      </c>
      <c r="I35" s="51">
        <f>'Data pasivo'!G37</f>
        <v>1</v>
      </c>
      <c r="J35" s="27" t="str">
        <f>LOOKUP(K35,RANGOS!$F$2:$G$26)</f>
        <v>BAJO</v>
      </c>
      <c r="K35" s="27">
        <f t="shared" si="2"/>
        <v>5</v>
      </c>
      <c r="L35" s="166"/>
      <c r="M35" s="222"/>
      <c r="N35" s="222"/>
      <c r="O35" s="196"/>
      <c r="P35" s="27" t="str">
        <f>LOOKUP(Q35,RANGOS!$F$2:$G$26)</f>
        <v>BAJO</v>
      </c>
      <c r="Q35" s="10">
        <f t="shared" ref="Q35:Q37" si="9">K35/$O$34</f>
        <v>5</v>
      </c>
      <c r="R35" s="166"/>
    </row>
    <row r="36" spans="1:18" x14ac:dyDescent="0.3">
      <c r="A36" s="215"/>
      <c r="B36" s="148"/>
      <c r="C36" s="211"/>
      <c r="D36" s="175"/>
      <c r="E36" s="3" t="s">
        <v>89</v>
      </c>
      <c r="F36" s="27" t="str">
        <f>LOOKUP(G36,RANGOS!$A$2:$B$6)</f>
        <v xml:space="preserve">Muy alta </v>
      </c>
      <c r="G36" s="47">
        <v>5</v>
      </c>
      <c r="H36" s="27" t="str">
        <f>LOOKUP(I36,RANGOS!$A$9:$B$13)</f>
        <v xml:space="preserve">Muy bajo </v>
      </c>
      <c r="I36" s="51">
        <f>'Data pasivo'!G38</f>
        <v>1</v>
      </c>
      <c r="J36" s="27" t="str">
        <f>LOOKUP(K36,RANGOS!$F$2:$G$26)</f>
        <v>BAJO</v>
      </c>
      <c r="K36" s="27">
        <f t="shared" si="2"/>
        <v>5</v>
      </c>
      <c r="L36" s="166"/>
      <c r="M36" s="222"/>
      <c r="N36" s="222"/>
      <c r="O36" s="196"/>
      <c r="P36" s="27" t="str">
        <f>LOOKUP(Q36,RANGOS!$F$2:$G$26)</f>
        <v>BAJO</v>
      </c>
      <c r="Q36" s="10">
        <f t="shared" si="9"/>
        <v>5</v>
      </c>
      <c r="R36" s="166"/>
    </row>
    <row r="37" spans="1:18" x14ac:dyDescent="0.3">
      <c r="A37" s="215"/>
      <c r="B37" s="148"/>
      <c r="C37" s="212"/>
      <c r="D37" s="175"/>
      <c r="E37" s="29" t="s">
        <v>90</v>
      </c>
      <c r="F37" s="27" t="str">
        <f>LOOKUP(G37,RANGOS!$A$2:$B$6)</f>
        <v xml:space="preserve">Muy alta </v>
      </c>
      <c r="G37" s="47">
        <v>5</v>
      </c>
      <c r="H37" s="27" t="str">
        <f>LOOKUP(I37,RANGOS!$A$9:$B$13)</f>
        <v>Medio</v>
      </c>
      <c r="I37" s="51">
        <f>'Data pasivo'!G39</f>
        <v>3</v>
      </c>
      <c r="J37" s="27" t="str">
        <f>LOOKUP(K37,RANGOS!$F$2:$G$26)</f>
        <v xml:space="preserve">ALTO </v>
      </c>
      <c r="K37" s="27">
        <f t="shared" si="2"/>
        <v>15</v>
      </c>
      <c r="L37" s="166"/>
      <c r="M37" s="222"/>
      <c r="N37" s="222"/>
      <c r="O37" s="196"/>
      <c r="P37" s="27" t="str">
        <f>LOOKUP(Q37,RANGOS!$F$2:$G$26)</f>
        <v xml:space="preserve">ALTO </v>
      </c>
      <c r="Q37" s="70">
        <f t="shared" si="9"/>
        <v>15</v>
      </c>
      <c r="R37" s="166"/>
    </row>
    <row r="38" spans="1:18" x14ac:dyDescent="0.3">
      <c r="A38" s="215"/>
      <c r="B38" s="148"/>
      <c r="C38" s="204" t="s">
        <v>133</v>
      </c>
      <c r="D38" s="188">
        <v>0.1</v>
      </c>
      <c r="E38" s="20" t="s">
        <v>53</v>
      </c>
      <c r="F38" s="95" t="str">
        <f>LOOKUP(G38,RANGOS!$A$2:$B$6)</f>
        <v xml:space="preserve">Muy baja </v>
      </c>
      <c r="G38" s="49">
        <v>1</v>
      </c>
      <c r="H38" s="95" t="str">
        <f>LOOKUP(I38,RANGOS!$A$9:$B$13)</f>
        <v xml:space="preserve">Muy alto </v>
      </c>
      <c r="I38" s="55">
        <f>'Data pasivo'!D40</f>
        <v>3454</v>
      </c>
      <c r="J38" s="95" t="str">
        <f>LOOKUP(K38,RANGOS!$F$2:$G$26)</f>
        <v xml:space="preserve">MUY ALTO </v>
      </c>
      <c r="K38" s="95">
        <f t="shared" si="2"/>
        <v>3454</v>
      </c>
      <c r="L38" s="165">
        <f>$B$4*$D$38*AVERAGE(K38:K40)</f>
        <v>80.66</v>
      </c>
      <c r="M38" s="227"/>
      <c r="N38" s="159" t="str">
        <f>LOOKUP(O38,RANGOS!$F$2:$G$26)</f>
        <v xml:space="preserve">MUY BAJO </v>
      </c>
      <c r="O38" s="192">
        <v>1</v>
      </c>
      <c r="P38" s="95" t="str">
        <f>LOOKUP(Q38,RANGOS!$F$2:$G$26)</f>
        <v xml:space="preserve">MUY ALTO </v>
      </c>
      <c r="Q38" s="10">
        <f>K38/$O$38</f>
        <v>3454</v>
      </c>
      <c r="R38" s="165">
        <f>$B$4*$D$38*AVERAGE(Q38:Q40)</f>
        <v>80.66</v>
      </c>
    </row>
    <row r="39" spans="1:18" x14ac:dyDescent="0.3">
      <c r="A39" s="215"/>
      <c r="B39" s="148"/>
      <c r="C39" s="205"/>
      <c r="D39" s="148"/>
      <c r="E39" s="3" t="s">
        <v>54</v>
      </c>
      <c r="F39" s="27" t="str">
        <f>LOOKUP(G39,RANGOS!$A$2:$B$6)</f>
        <v xml:space="preserve">Muy baja </v>
      </c>
      <c r="G39" s="47">
        <v>1</v>
      </c>
      <c r="H39" s="27" t="str">
        <f>LOOKUP(I39,RANGOS!$A$9:$B$13)</f>
        <v xml:space="preserve">Muy alto </v>
      </c>
      <c r="I39" s="51">
        <f>'Data pasivo'!D41</f>
        <v>45</v>
      </c>
      <c r="J39" s="27" t="str">
        <f>LOOKUP(K39,RANGOS!$F$2:$G$26)</f>
        <v xml:space="preserve">MUY ALTO </v>
      </c>
      <c r="K39" s="27">
        <f t="shared" si="2"/>
        <v>45</v>
      </c>
      <c r="L39" s="163"/>
      <c r="M39" s="225"/>
      <c r="N39" s="160"/>
      <c r="O39" s="193"/>
      <c r="P39" s="27" t="str">
        <f>LOOKUP(Q39,RANGOS!$F$2:$G$26)</f>
        <v xml:space="preserve">MUY ALTO </v>
      </c>
      <c r="Q39" s="10">
        <f t="shared" ref="Q39:Q40" si="10">K39/$O$38</f>
        <v>45</v>
      </c>
      <c r="R39" s="163"/>
    </row>
    <row r="40" spans="1:18" ht="15" thickBot="1" x14ac:dyDescent="0.35">
      <c r="A40" s="216"/>
      <c r="B40" s="217"/>
      <c r="C40" s="224"/>
      <c r="D40" s="217"/>
      <c r="E40" s="75" t="s">
        <v>196</v>
      </c>
      <c r="F40" s="76" t="str">
        <f>LOOKUP(G40,RANGOS!$A$2:$B$6)</f>
        <v xml:space="preserve">Muy baja </v>
      </c>
      <c r="G40" s="77">
        <v>1</v>
      </c>
      <c r="H40" s="76" t="str">
        <f>LOOKUP(I40,RANGOS!$A$9:$B$13)</f>
        <v xml:space="preserve">Muy alto </v>
      </c>
      <c r="I40" s="78">
        <f>'Data pasivo'!D42</f>
        <v>534</v>
      </c>
      <c r="J40" s="76" t="str">
        <f>LOOKUP(K40,RANGOS!$F$2:$G$26)</f>
        <v xml:space="preserve">MUY ALTO </v>
      </c>
      <c r="K40" s="76">
        <f t="shared" si="2"/>
        <v>534</v>
      </c>
      <c r="L40" s="234"/>
      <c r="M40" s="239"/>
      <c r="N40" s="240"/>
      <c r="O40" s="238"/>
      <c r="P40" s="76" t="str">
        <f>LOOKUP(Q40,RANGOS!$F$2:$G$26)</f>
        <v xml:space="preserve">MUY ALTO </v>
      </c>
      <c r="Q40" s="79">
        <f t="shared" si="10"/>
        <v>534</v>
      </c>
      <c r="R40" s="234"/>
    </row>
    <row r="41" spans="1:18" x14ac:dyDescent="0.3">
      <c r="A41" s="170" t="s">
        <v>6</v>
      </c>
      <c r="B41" s="148">
        <v>0.3</v>
      </c>
      <c r="C41" s="211" t="s">
        <v>152</v>
      </c>
      <c r="D41" s="148">
        <v>0.34</v>
      </c>
      <c r="E41" s="3" t="s">
        <v>53</v>
      </c>
      <c r="F41" s="27" t="str">
        <f>LOOKUP(G41,RANGOS!$A$2:$B$6)</f>
        <v xml:space="preserve">Muy baja </v>
      </c>
      <c r="G41" s="47">
        <v>1</v>
      </c>
      <c r="H41" s="27" t="str">
        <f>LOOKUP(I41,RANGOS!$A$9:$B$13)</f>
        <v xml:space="preserve">Muy bajo </v>
      </c>
      <c r="I41" s="51">
        <v>1</v>
      </c>
      <c r="J41" s="27" t="str">
        <f>LOOKUP(K41,RANGOS!$F$2:$G$26)</f>
        <v xml:space="preserve">MUY BAJO </v>
      </c>
      <c r="K41" s="27">
        <f t="shared" ref="K41:K50" si="11">G41*I41</f>
        <v>1</v>
      </c>
      <c r="L41" s="163">
        <f>$B$41*$D$41*AVERAGE(K41:K42)</f>
        <v>0.10200000000000001</v>
      </c>
      <c r="M41" s="232"/>
      <c r="N41" s="222" t="str">
        <f>LOOKUP(O41,RANGOS!$F$2:$G$26)</f>
        <v xml:space="preserve">MUY BAJO </v>
      </c>
      <c r="O41" s="196">
        <v>1</v>
      </c>
      <c r="P41" s="27" t="str">
        <f>LOOKUP(Q41,RANGOS!$F$2:$G$26)</f>
        <v xml:space="preserve">MUY BAJO </v>
      </c>
      <c r="Q41" s="10">
        <f>K41/$O$41</f>
        <v>1</v>
      </c>
      <c r="R41" s="163">
        <f>$B$41*$D$41*AVERAGE(Q41:Q42)</f>
        <v>0.10200000000000001</v>
      </c>
    </row>
    <row r="42" spans="1:18" x14ac:dyDescent="0.3">
      <c r="A42" s="170"/>
      <c r="B42" s="148"/>
      <c r="C42" s="211"/>
      <c r="D42" s="148"/>
      <c r="E42" s="3" t="s">
        <v>54</v>
      </c>
      <c r="F42" s="96" t="str">
        <f>LOOKUP(G42,RANGOS!$A$2:$B$6)</f>
        <v xml:space="preserve">Muy baja </v>
      </c>
      <c r="G42" s="47">
        <v>1</v>
      </c>
      <c r="H42" s="96" t="str">
        <f>LOOKUP(I42,RANGOS!$A$9:$B$13)</f>
        <v xml:space="preserve">Muy bajo </v>
      </c>
      <c r="I42" s="51">
        <v>1</v>
      </c>
      <c r="J42" s="96" t="str">
        <f>LOOKUP(K42,RANGOS!$F$2:$G$26)</f>
        <v xml:space="preserve">MUY BAJO </v>
      </c>
      <c r="K42" s="27">
        <f t="shared" si="11"/>
        <v>1</v>
      </c>
      <c r="L42" s="163"/>
      <c r="M42" s="233"/>
      <c r="N42" s="223"/>
      <c r="O42" s="197"/>
      <c r="P42" s="96" t="str">
        <f>LOOKUP(Q42,RANGOS!$F$2:$G$26)</f>
        <v xml:space="preserve">MUY BAJO </v>
      </c>
      <c r="Q42" s="70">
        <f>K42/$O$41</f>
        <v>1</v>
      </c>
      <c r="R42" s="163"/>
    </row>
    <row r="43" spans="1:18" x14ac:dyDescent="0.3">
      <c r="A43" s="170"/>
      <c r="B43" s="149"/>
      <c r="C43" s="210" t="s">
        <v>153</v>
      </c>
      <c r="D43" s="188">
        <v>0.33</v>
      </c>
      <c r="E43" s="20" t="s">
        <v>53</v>
      </c>
      <c r="F43" s="95" t="str">
        <f>LOOKUP(G43,RANGOS!$A$2:$B$6)</f>
        <v xml:space="preserve">Muy baja </v>
      </c>
      <c r="G43" s="49">
        <v>1</v>
      </c>
      <c r="H43" s="95" t="str">
        <f>LOOKUP(I43,RANGOS!$A$9:$B$13)</f>
        <v xml:space="preserve">Muy bajo </v>
      </c>
      <c r="I43" s="55">
        <v>1</v>
      </c>
      <c r="J43" s="95" t="str">
        <f>LOOKUP(K43,RANGOS!$F$2:$G$26)</f>
        <v xml:space="preserve">MUY BAJO </v>
      </c>
      <c r="K43" s="95">
        <f t="shared" si="11"/>
        <v>1</v>
      </c>
      <c r="L43" s="165">
        <f>$B$41*$D$43*AVERAGE(K43:K44)</f>
        <v>9.9000000000000005E-2</v>
      </c>
      <c r="M43" s="231"/>
      <c r="N43" s="221" t="str">
        <f>LOOKUP(O43,RANGOS!$F$2:$G$26)</f>
        <v xml:space="preserve">MUY BAJO </v>
      </c>
      <c r="O43" s="195">
        <v>1</v>
      </c>
      <c r="P43" s="27" t="str">
        <f>LOOKUP(Q43,RANGOS!$F$2:$G$26)</f>
        <v xml:space="preserve">MUY BAJO </v>
      </c>
      <c r="Q43" s="10">
        <f>K43/$O$43</f>
        <v>1</v>
      </c>
      <c r="R43" s="165">
        <f>$B$41*$D$43*AVERAGE(Q43:Q44)</f>
        <v>9.9000000000000005E-2</v>
      </c>
    </row>
    <row r="44" spans="1:18" x14ac:dyDescent="0.3">
      <c r="A44" s="170"/>
      <c r="B44" s="149"/>
      <c r="C44" s="212"/>
      <c r="D44" s="187"/>
      <c r="E44" s="29" t="s">
        <v>54</v>
      </c>
      <c r="F44" s="96" t="str">
        <f>LOOKUP(G44,RANGOS!$A$2:$B$6)</f>
        <v xml:space="preserve">Muy baja </v>
      </c>
      <c r="G44" s="48">
        <v>1</v>
      </c>
      <c r="H44" s="96" t="str">
        <f>LOOKUP(I44,RANGOS!$A$9:$B$13)</f>
        <v xml:space="preserve">Muy bajo </v>
      </c>
      <c r="I44" s="56">
        <v>1</v>
      </c>
      <c r="J44" s="96" t="str">
        <f>LOOKUP(K44,RANGOS!$F$2:$G$26)</f>
        <v xml:space="preserve">MUY BAJO </v>
      </c>
      <c r="K44" s="96">
        <f t="shared" si="11"/>
        <v>1</v>
      </c>
      <c r="L44" s="164"/>
      <c r="M44" s="232"/>
      <c r="N44" s="222"/>
      <c r="O44" s="196"/>
      <c r="P44" s="27" t="str">
        <f>LOOKUP(Q44,RANGOS!$F$2:$G$26)</f>
        <v xml:space="preserve">MUY BAJO </v>
      </c>
      <c r="Q44" s="10">
        <f>K44/$O$43</f>
        <v>1</v>
      </c>
      <c r="R44" s="164"/>
    </row>
    <row r="45" spans="1:18" x14ac:dyDescent="0.3">
      <c r="A45" s="170"/>
      <c r="B45" s="149"/>
      <c r="C45" s="211" t="s">
        <v>154</v>
      </c>
      <c r="D45" s="148">
        <v>0.33</v>
      </c>
      <c r="E45" s="3" t="s">
        <v>72</v>
      </c>
      <c r="F45" s="95" t="str">
        <f>LOOKUP(G45,RANGOS!$A$2:$B$6)</f>
        <v xml:space="preserve">Muy baja </v>
      </c>
      <c r="G45" s="47">
        <v>1</v>
      </c>
      <c r="H45" s="27" t="str">
        <f>LOOKUP(I45,RANGOS!$A$9:$B$13)</f>
        <v xml:space="preserve">Muy bajo </v>
      </c>
      <c r="I45" s="51">
        <v>1</v>
      </c>
      <c r="J45" s="95" t="str">
        <f>LOOKUP(K45,RANGOS!$F$2:$G$26)</f>
        <v xml:space="preserve">MUY BAJO </v>
      </c>
      <c r="K45" s="27">
        <f t="shared" si="11"/>
        <v>1</v>
      </c>
      <c r="L45" s="163">
        <f>$B$41*$D$45*AVERAGE(K45:K46)</f>
        <v>9.9000000000000005E-2</v>
      </c>
      <c r="M45" s="231"/>
      <c r="N45" s="221" t="str">
        <f>LOOKUP(O45,RANGOS!$F$2:$G$26)</f>
        <v xml:space="preserve">MUY BAJO </v>
      </c>
      <c r="O45" s="195">
        <v>1</v>
      </c>
      <c r="P45" s="95" t="str">
        <f>LOOKUP(Q45,RANGOS!$F$2:$G$26)</f>
        <v xml:space="preserve">MUY BAJO </v>
      </c>
      <c r="Q45" s="72">
        <f>K45/$O$45</f>
        <v>1</v>
      </c>
      <c r="R45" s="163">
        <f>$B$41*$D$45*AVERAGE(Q45:Q46)</f>
        <v>9.9000000000000005E-2</v>
      </c>
    </row>
    <row r="46" spans="1:18" ht="15" thickBot="1" x14ac:dyDescent="0.35">
      <c r="A46" s="220"/>
      <c r="B46" s="150"/>
      <c r="C46" s="218"/>
      <c r="D46" s="217"/>
      <c r="E46" s="75" t="s">
        <v>72</v>
      </c>
      <c r="F46" s="76" t="str">
        <f>LOOKUP(G46,RANGOS!$A$2:$B$6)</f>
        <v xml:space="preserve">Muy baja </v>
      </c>
      <c r="G46" s="77">
        <v>1</v>
      </c>
      <c r="H46" s="76" t="str">
        <f>LOOKUP(I46,RANGOS!$A$9:$B$13)</f>
        <v xml:space="preserve">Muy bajo </v>
      </c>
      <c r="I46" s="78">
        <v>1</v>
      </c>
      <c r="J46" s="76" t="str">
        <f>LOOKUP(K46,RANGOS!$F$2:$G$26)</f>
        <v xml:space="preserve">MUY BAJO </v>
      </c>
      <c r="K46" s="76">
        <f t="shared" si="11"/>
        <v>1</v>
      </c>
      <c r="L46" s="234"/>
      <c r="M46" s="235"/>
      <c r="N46" s="229"/>
      <c r="O46" s="230"/>
      <c r="P46" s="76" t="str">
        <f>LOOKUP(Q46,RANGOS!$F$2:$G$26)</f>
        <v xml:space="preserve">MUY BAJO </v>
      </c>
      <c r="Q46" s="79">
        <f>K46/$O$45</f>
        <v>1</v>
      </c>
      <c r="R46" s="234"/>
    </row>
    <row r="47" spans="1:18" x14ac:dyDescent="0.3">
      <c r="A47" s="172" t="s">
        <v>7</v>
      </c>
      <c r="B47" s="148">
        <v>0.1</v>
      </c>
      <c r="C47" s="211" t="s">
        <v>155</v>
      </c>
      <c r="D47" s="148">
        <v>0.5</v>
      </c>
      <c r="E47" s="3" t="s">
        <v>72</v>
      </c>
      <c r="F47" s="27" t="str">
        <f>LOOKUP(G47,RANGOS!$A$2:$B$6)</f>
        <v xml:space="preserve">Muy baja </v>
      </c>
      <c r="G47" s="47">
        <v>1</v>
      </c>
      <c r="H47" s="27" t="str">
        <f>LOOKUP(I47,RANGOS!$A$9:$B$13)</f>
        <v xml:space="preserve">Muy bajo </v>
      </c>
      <c r="I47" s="51">
        <v>1</v>
      </c>
      <c r="J47" s="27" t="str">
        <f>LOOKUP(K47,RANGOS!$F$2:$G$26)</f>
        <v xml:space="preserve">MUY BAJO </v>
      </c>
      <c r="K47" s="27">
        <f t="shared" si="11"/>
        <v>1</v>
      </c>
      <c r="L47" s="163">
        <f>$B$47*$D$47*AVERAGE(K47:K48)</f>
        <v>0.05</v>
      </c>
      <c r="M47" s="64"/>
      <c r="N47" s="237" t="str">
        <f>LOOKUP(O47,RANGOS!$F$2:$G$26)</f>
        <v xml:space="preserve">MUY BAJO </v>
      </c>
      <c r="O47" s="236">
        <v>1</v>
      </c>
      <c r="P47" s="27" t="str">
        <f>LOOKUP(Q47,RANGOS!$F$2:$G$26)</f>
        <v xml:space="preserve">MUY BAJO </v>
      </c>
      <c r="Q47" s="10">
        <f>K47/$O$47</f>
        <v>1</v>
      </c>
      <c r="R47" s="163">
        <f>$B$47*$D$47*AVERAGE(Q47:Q48)</f>
        <v>0.05</v>
      </c>
    </row>
    <row r="48" spans="1:18" x14ac:dyDescent="0.3">
      <c r="A48" s="172"/>
      <c r="B48" s="148"/>
      <c r="C48" s="212"/>
      <c r="D48" s="187"/>
      <c r="E48" s="29" t="s">
        <v>72</v>
      </c>
      <c r="F48" s="96" t="str">
        <f>LOOKUP(G48,RANGOS!$A$2:$B$6)</f>
        <v xml:space="preserve">Muy baja </v>
      </c>
      <c r="G48" s="48">
        <v>1</v>
      </c>
      <c r="H48" s="96" t="str">
        <f>LOOKUP(I48,RANGOS!$A$9:$B$13)</f>
        <v xml:space="preserve">Muy bajo </v>
      </c>
      <c r="I48" s="56">
        <v>1</v>
      </c>
      <c r="J48" s="96" t="str">
        <f>LOOKUP(K48,RANGOS!$F$2:$G$26)</f>
        <v xml:space="preserve">MUY BAJO </v>
      </c>
      <c r="K48" s="96">
        <f>G48*I48</f>
        <v>1</v>
      </c>
      <c r="L48" s="164"/>
      <c r="M48" s="65"/>
      <c r="N48" s="223"/>
      <c r="O48" s="194"/>
      <c r="P48" s="96"/>
      <c r="Q48" s="70">
        <f>K48/$O$47</f>
        <v>1</v>
      </c>
      <c r="R48" s="164"/>
    </row>
    <row r="49" spans="1:18" x14ac:dyDescent="0.3">
      <c r="A49" s="172"/>
      <c r="B49" s="148"/>
      <c r="C49" s="211" t="s">
        <v>156</v>
      </c>
      <c r="D49" s="148">
        <v>0.5</v>
      </c>
      <c r="E49" s="3" t="s">
        <v>72</v>
      </c>
      <c r="F49" s="27" t="str">
        <f>LOOKUP(G49,RANGOS!$A$2:$B$6)</f>
        <v xml:space="preserve">Muy baja </v>
      </c>
      <c r="G49" s="47">
        <v>1</v>
      </c>
      <c r="H49" s="27" t="str">
        <f>LOOKUP(I49,RANGOS!$A$9:$B$13)</f>
        <v xml:space="preserve">Muy bajo </v>
      </c>
      <c r="I49" s="51">
        <v>1</v>
      </c>
      <c r="J49" s="95" t="str">
        <f>LOOKUP(K49,RANGOS!$F$2:$G$26)</f>
        <v xml:space="preserve">MUY BAJO </v>
      </c>
      <c r="K49" s="27">
        <f t="shared" ref="K49" si="12">G49*I49</f>
        <v>1</v>
      </c>
      <c r="L49" s="163">
        <f>$B$47*$D$49*AVERAGE(K49:K50)</f>
        <v>0.05</v>
      </c>
      <c r="M49" s="64"/>
      <c r="N49" s="221" t="str">
        <f>LOOKUP(O49,RANGOS!$F$2:$G$26)</f>
        <v xml:space="preserve">MUY BAJO </v>
      </c>
      <c r="O49" s="192">
        <v>1</v>
      </c>
      <c r="P49" s="27"/>
      <c r="Q49" s="10">
        <f>K49/$O$49</f>
        <v>1</v>
      </c>
      <c r="R49" s="163">
        <f>$B$47*$D$49*AVERAGE(Q49:Q50)</f>
        <v>0.05</v>
      </c>
    </row>
    <row r="50" spans="1:18" ht="15" thickBot="1" x14ac:dyDescent="0.35">
      <c r="A50" s="213"/>
      <c r="B50" s="150"/>
      <c r="C50" s="218"/>
      <c r="D50" s="217"/>
      <c r="E50" s="75" t="s">
        <v>72</v>
      </c>
      <c r="F50" s="76" t="str">
        <f>LOOKUP(G50,RANGOS!$A$2:$B$6)</f>
        <v xml:space="preserve">Muy baja </v>
      </c>
      <c r="G50" s="77">
        <v>1</v>
      </c>
      <c r="H50" s="76" t="str">
        <f>LOOKUP(I50,RANGOS!$A$9:$B$13)</f>
        <v xml:space="preserve">Muy bajo </v>
      </c>
      <c r="I50" s="78">
        <v>1</v>
      </c>
      <c r="J50" s="76" t="str">
        <f>LOOKUP(K50,RANGOS!$F$2:$G$26)</f>
        <v xml:space="preserve">MUY BAJO </v>
      </c>
      <c r="K50" s="76">
        <f t="shared" si="11"/>
        <v>1</v>
      </c>
      <c r="L50" s="234"/>
      <c r="M50" s="107"/>
      <c r="N50" s="229"/>
      <c r="O50" s="238"/>
      <c r="P50" s="76" t="str">
        <f>LOOKUP(Q50,RANGOS!$F$2:$G$26)</f>
        <v xml:space="preserve">MUY BAJO </v>
      </c>
      <c r="Q50" s="79">
        <f>K50/O$49</f>
        <v>1</v>
      </c>
      <c r="R50" s="234"/>
    </row>
    <row r="51" spans="1:18" x14ac:dyDescent="0.3">
      <c r="I51" s="102" t="s">
        <v>179</v>
      </c>
      <c r="J51" s="228" t="str">
        <f>LOOKUP(L51,RANGOS!$F$2:$G$26)</f>
        <v xml:space="preserve">MUY ALTO </v>
      </c>
      <c r="K51" s="228"/>
      <c r="L51" s="71">
        <f>SUM(L4:L50)</f>
        <v>85.892499999999998</v>
      </c>
      <c r="M51" s="12"/>
      <c r="O51" s="108" t="s">
        <v>180</v>
      </c>
      <c r="P51" s="228" t="str">
        <f>LOOKUP(R51,RANGOS!$F$2:$G$26)</f>
        <v xml:space="preserve">MUY ALTO </v>
      </c>
      <c r="Q51" s="228"/>
      <c r="R51" s="71">
        <f>SUM(R4:R50)</f>
        <v>84.952500000000001</v>
      </c>
    </row>
    <row r="52" spans="1:18" x14ac:dyDescent="0.3">
      <c r="J52" s="9"/>
    </row>
    <row r="53" spans="1:18" x14ac:dyDescent="0.3">
      <c r="J53" s="12"/>
    </row>
  </sheetData>
  <mergeCells count="111">
    <mergeCell ref="R45:R46"/>
    <mergeCell ref="R47:R48"/>
    <mergeCell ref="R49:R50"/>
    <mergeCell ref="R32:R33"/>
    <mergeCell ref="R34:R37"/>
    <mergeCell ref="R38:R40"/>
    <mergeCell ref="R41:R42"/>
    <mergeCell ref="R43:R44"/>
    <mergeCell ref="R12:R19"/>
    <mergeCell ref="R20:R22"/>
    <mergeCell ref="R23:R25"/>
    <mergeCell ref="R26:R28"/>
    <mergeCell ref="R29:R31"/>
    <mergeCell ref="O47:O48"/>
    <mergeCell ref="N47:N48"/>
    <mergeCell ref="O49:O50"/>
    <mergeCell ref="N49:N50"/>
    <mergeCell ref="M32:M33"/>
    <mergeCell ref="M34:M37"/>
    <mergeCell ref="M38:M40"/>
    <mergeCell ref="M41:M42"/>
    <mergeCell ref="M43:M44"/>
    <mergeCell ref="N38:N40"/>
    <mergeCell ref="O38:O40"/>
    <mergeCell ref="M29:M31"/>
    <mergeCell ref="D49:D50"/>
    <mergeCell ref="L12:L19"/>
    <mergeCell ref="L20:L22"/>
    <mergeCell ref="L23:L25"/>
    <mergeCell ref="L26:L28"/>
    <mergeCell ref="L29:L31"/>
    <mergeCell ref="L32:L33"/>
    <mergeCell ref="L34:L37"/>
    <mergeCell ref="L38:L40"/>
    <mergeCell ref="L41:L42"/>
    <mergeCell ref="L43:L44"/>
    <mergeCell ref="L45:L46"/>
    <mergeCell ref="L47:L48"/>
    <mergeCell ref="L49:L50"/>
    <mergeCell ref="M45:M46"/>
    <mergeCell ref="R4:R11"/>
    <mergeCell ref="M4:M11"/>
    <mergeCell ref="N3:O3"/>
    <mergeCell ref="P3:Q3"/>
    <mergeCell ref="J51:K51"/>
    <mergeCell ref="P51:Q51"/>
    <mergeCell ref="C41:C42"/>
    <mergeCell ref="D41:D42"/>
    <mergeCell ref="C43:C44"/>
    <mergeCell ref="C45:C46"/>
    <mergeCell ref="D43:D44"/>
    <mergeCell ref="D45:D46"/>
    <mergeCell ref="N41:N42"/>
    <mergeCell ref="O41:O42"/>
    <mergeCell ref="N43:N44"/>
    <mergeCell ref="O43:O44"/>
    <mergeCell ref="N45:N46"/>
    <mergeCell ref="O45:O46"/>
    <mergeCell ref="C47:C48"/>
    <mergeCell ref="D47:D48"/>
    <mergeCell ref="O32:O33"/>
    <mergeCell ref="N34:N37"/>
    <mergeCell ref="O34:O37"/>
    <mergeCell ref="M12:M19"/>
    <mergeCell ref="A3:B3"/>
    <mergeCell ref="A41:A46"/>
    <mergeCell ref="C3:D3"/>
    <mergeCell ref="N4:N11"/>
    <mergeCell ref="O4:O11"/>
    <mergeCell ref="N12:N19"/>
    <mergeCell ref="O12:O19"/>
    <mergeCell ref="N20:N22"/>
    <mergeCell ref="O20:O22"/>
    <mergeCell ref="N23:N25"/>
    <mergeCell ref="O23:O25"/>
    <mergeCell ref="N26:N28"/>
    <mergeCell ref="O26:O28"/>
    <mergeCell ref="N29:N31"/>
    <mergeCell ref="O29:O31"/>
    <mergeCell ref="N32:N33"/>
    <mergeCell ref="C38:C40"/>
    <mergeCell ref="J3:K3"/>
    <mergeCell ref="F3:G3"/>
    <mergeCell ref="H3:I3"/>
    <mergeCell ref="L4:L11"/>
    <mergeCell ref="M20:M22"/>
    <mergeCell ref="M23:M25"/>
    <mergeCell ref="M26:M28"/>
    <mergeCell ref="A47:A50"/>
    <mergeCell ref="B47:B50"/>
    <mergeCell ref="A4:A40"/>
    <mergeCell ref="B4:B40"/>
    <mergeCell ref="C49:C50"/>
    <mergeCell ref="D26:D28"/>
    <mergeCell ref="D32:D33"/>
    <mergeCell ref="D34:D37"/>
    <mergeCell ref="C34:C37"/>
    <mergeCell ref="C32:C33"/>
    <mergeCell ref="D4:D11"/>
    <mergeCell ref="D12:D19"/>
    <mergeCell ref="B41:B46"/>
    <mergeCell ref="D38:D40"/>
    <mergeCell ref="C20:C22"/>
    <mergeCell ref="C23:C25"/>
    <mergeCell ref="C29:C31"/>
    <mergeCell ref="D20:D22"/>
    <mergeCell ref="D23:D25"/>
    <mergeCell ref="D29:D31"/>
    <mergeCell ref="C4:C11"/>
    <mergeCell ref="C12:C19"/>
    <mergeCell ref="C26:C2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8168889431442"/>
  </sheetPr>
  <dimension ref="A1:G42"/>
  <sheetViews>
    <sheetView zoomScale="110" zoomScaleNormal="110" workbookViewId="0">
      <selection activeCell="B48" sqref="B48"/>
    </sheetView>
  </sheetViews>
  <sheetFormatPr baseColWidth="10" defaultRowHeight="14.4" x14ac:dyDescent="0.3"/>
  <cols>
    <col min="1" max="1" width="11.5546875" customWidth="1"/>
    <col min="2" max="2" width="27.88671875" customWidth="1"/>
    <col min="3" max="3" width="35.44140625" style="10" customWidth="1"/>
    <col min="4" max="4" width="11.44140625" style="10" customWidth="1"/>
    <col min="5" max="5" width="11.6640625" style="10" customWidth="1"/>
    <col min="6" max="6" width="8.6640625" customWidth="1"/>
    <col min="7" max="7" width="11.44140625" customWidth="1"/>
  </cols>
  <sheetData>
    <row r="1" spans="1:7" ht="17.399999999999999" x14ac:dyDescent="0.3">
      <c r="A1" s="100" t="s">
        <v>124</v>
      </c>
    </row>
    <row r="2" spans="1:7" x14ac:dyDescent="0.3">
      <c r="A2" s="1"/>
    </row>
    <row r="3" spans="1:7" x14ac:dyDescent="0.3">
      <c r="A3" s="1" t="s">
        <v>171</v>
      </c>
    </row>
    <row r="4" spans="1:7" x14ac:dyDescent="0.3">
      <c r="A4" s="1"/>
    </row>
    <row r="5" spans="1:7" ht="27" thickBot="1" x14ac:dyDescent="0.35">
      <c r="A5" s="126" t="s">
        <v>0</v>
      </c>
      <c r="B5" s="126" t="s">
        <v>1</v>
      </c>
      <c r="C5" s="126" t="s">
        <v>2</v>
      </c>
      <c r="D5" s="126" t="s">
        <v>125</v>
      </c>
      <c r="E5" s="126" t="s">
        <v>70</v>
      </c>
      <c r="F5" s="243" t="s">
        <v>16</v>
      </c>
      <c r="G5" s="243"/>
    </row>
    <row r="6" spans="1:7" x14ac:dyDescent="0.3">
      <c r="A6" s="241" t="s">
        <v>3</v>
      </c>
      <c r="B6" s="211" t="s">
        <v>4</v>
      </c>
      <c r="C6" s="3" t="s">
        <v>73</v>
      </c>
      <c r="D6" s="44">
        <v>62627</v>
      </c>
      <c r="E6" s="33">
        <f t="shared" ref="E6:E13" si="0">D6/SUM($D$6:$D$13)</f>
        <v>0.74968277909454384</v>
      </c>
      <c r="F6" s="28" t="e">
        <f>LOOKUP(E6,RANGOS!#REF!)</f>
        <v>#REF!</v>
      </c>
      <c r="G6" s="28">
        <f>LOOKUP(E6,RANGOS!$I$2:$J$101)</f>
        <v>5</v>
      </c>
    </row>
    <row r="7" spans="1:7" x14ac:dyDescent="0.3">
      <c r="A7" s="241"/>
      <c r="B7" s="211"/>
      <c r="C7" s="3" t="s">
        <v>74</v>
      </c>
      <c r="D7" s="44">
        <v>7374</v>
      </c>
      <c r="E7" s="33">
        <f t="shared" si="0"/>
        <v>8.8271205918264747E-2</v>
      </c>
      <c r="F7" s="28" t="e">
        <f>LOOKUP(E7,RANGOS!#REF!)</f>
        <v>#REF!</v>
      </c>
      <c r="G7" s="28">
        <f>LOOKUP(E7,RANGOS!$I$2:$J$101)</f>
        <v>2</v>
      </c>
    </row>
    <row r="8" spans="1:7" x14ac:dyDescent="0.3">
      <c r="A8" s="241"/>
      <c r="B8" s="211"/>
      <c r="C8" s="3" t="s">
        <v>75</v>
      </c>
      <c r="D8" s="44">
        <v>2434</v>
      </c>
      <c r="E8" s="33">
        <f t="shared" si="0"/>
        <v>2.9136440901146785E-2</v>
      </c>
      <c r="F8" s="28" t="e">
        <f>LOOKUP(E8,RANGOS!#REF!)</f>
        <v>#REF!</v>
      </c>
      <c r="G8" s="28">
        <f>LOOKUP(E8,RANGOS!$I$2:$J$101)</f>
        <v>1</v>
      </c>
    </row>
    <row r="9" spans="1:7" x14ac:dyDescent="0.3">
      <c r="A9" s="241"/>
      <c r="B9" s="211"/>
      <c r="C9" s="3" t="s">
        <v>76</v>
      </c>
      <c r="D9" s="44">
        <v>4214</v>
      </c>
      <c r="E9" s="33">
        <f t="shared" si="0"/>
        <v>5.0444109267638676E-2</v>
      </c>
      <c r="F9" s="28" t="e">
        <f>LOOKUP(E9,RANGOS!#REF!)</f>
        <v>#REF!</v>
      </c>
      <c r="G9" s="28">
        <f>LOOKUP(E9,RANGOS!$I$2:$J$101)</f>
        <v>1</v>
      </c>
    </row>
    <row r="10" spans="1:7" x14ac:dyDescent="0.3">
      <c r="A10" s="241"/>
      <c r="B10" s="211"/>
      <c r="C10" s="3" t="s">
        <v>77</v>
      </c>
      <c r="D10" s="44">
        <v>4546</v>
      </c>
      <c r="E10" s="33">
        <f t="shared" si="0"/>
        <v>5.4418348535995593E-2</v>
      </c>
      <c r="F10" s="28" t="e">
        <f>LOOKUP(E10,RANGOS!#REF!)</f>
        <v>#REF!</v>
      </c>
      <c r="G10" s="28">
        <f>LOOKUP(E10,RANGOS!$I$2:$J$101)</f>
        <v>1</v>
      </c>
    </row>
    <row r="11" spans="1:7" x14ac:dyDescent="0.3">
      <c r="A11" s="241"/>
      <c r="B11" s="211"/>
      <c r="C11" s="3" t="s">
        <v>78</v>
      </c>
      <c r="D11" s="44">
        <v>646</v>
      </c>
      <c r="E11" s="33">
        <f t="shared" si="0"/>
        <v>7.7330077330077327E-3</v>
      </c>
      <c r="F11" s="28" t="e">
        <f>LOOKUP(E11,RANGOS!#REF!)</f>
        <v>#REF!</v>
      </c>
      <c r="G11" s="28">
        <f>LOOKUP(E11,RANGOS!$I$2:$J$101)</f>
        <v>1</v>
      </c>
    </row>
    <row r="12" spans="1:7" x14ac:dyDescent="0.3">
      <c r="A12" s="241"/>
      <c r="B12" s="211"/>
      <c r="C12" s="3" t="s">
        <v>79</v>
      </c>
      <c r="D12" s="44">
        <v>442</v>
      </c>
      <c r="E12" s="33">
        <f t="shared" si="0"/>
        <v>5.2910052910052907E-3</v>
      </c>
      <c r="F12" s="28" t="e">
        <f>LOOKUP(E12,RANGOS!#REF!)</f>
        <v>#REF!</v>
      </c>
      <c r="G12" s="28">
        <f>LOOKUP(E12,RANGOS!$I$2:$J$101)</f>
        <v>1</v>
      </c>
    </row>
    <row r="13" spans="1:7" x14ac:dyDescent="0.3">
      <c r="A13" s="241"/>
      <c r="B13" s="212"/>
      <c r="C13" s="29" t="s">
        <v>80</v>
      </c>
      <c r="D13" s="45">
        <v>1255</v>
      </c>
      <c r="E13" s="35">
        <f t="shared" si="0"/>
        <v>1.5023103258397376E-2</v>
      </c>
      <c r="F13" s="40" t="e">
        <f>LOOKUP(E13,RANGOS!#REF!)</f>
        <v>#REF!</v>
      </c>
      <c r="G13" s="40">
        <f>LOOKUP(E13,RANGOS!$I$2:$J$101)</f>
        <v>1</v>
      </c>
    </row>
    <row r="14" spans="1:7" x14ac:dyDescent="0.3">
      <c r="A14" s="241"/>
      <c r="B14" s="210" t="s">
        <v>5</v>
      </c>
      <c r="C14" s="20" t="s">
        <v>73</v>
      </c>
      <c r="D14" s="43">
        <v>33444</v>
      </c>
      <c r="E14" s="34">
        <f t="shared" ref="E14:E21" si="1">D14/SUM($D$14:$D$21)</f>
        <v>0.21998579209093061</v>
      </c>
      <c r="F14" s="39" t="e">
        <f>LOOKUP(E14,RANGOS!#REF!)</f>
        <v>#REF!</v>
      </c>
      <c r="G14" s="39">
        <f>LOOKUP(E14,RANGOS!$I$2:$J$101)</f>
        <v>3</v>
      </c>
    </row>
    <row r="15" spans="1:7" x14ac:dyDescent="0.3">
      <c r="A15" s="241"/>
      <c r="B15" s="211"/>
      <c r="C15" s="3" t="s">
        <v>74</v>
      </c>
      <c r="D15" s="44">
        <v>555</v>
      </c>
      <c r="E15" s="33">
        <f t="shared" si="1"/>
        <v>3.6506433025495304E-3</v>
      </c>
      <c r="F15" s="28" t="e">
        <f>LOOKUP(E15,RANGOS!#REF!)</f>
        <v>#REF!</v>
      </c>
      <c r="G15" s="28">
        <f>LOOKUP(E15,RANGOS!$I$2:$J$101)</f>
        <v>1</v>
      </c>
    </row>
    <row r="16" spans="1:7" x14ac:dyDescent="0.3">
      <c r="A16" s="241"/>
      <c r="B16" s="211"/>
      <c r="C16" s="3" t="s">
        <v>75</v>
      </c>
      <c r="D16" s="44">
        <v>23454</v>
      </c>
      <c r="E16" s="33">
        <f t="shared" si="1"/>
        <v>0.15427421264503907</v>
      </c>
      <c r="F16" s="28" t="e">
        <f>LOOKUP(E16,RANGOS!#REF!)</f>
        <v>#REF!</v>
      </c>
      <c r="G16" s="28">
        <f>LOOKUP(E16,RANGOS!$I$2:$J$101)</f>
        <v>2</v>
      </c>
    </row>
    <row r="17" spans="1:7" x14ac:dyDescent="0.3">
      <c r="A17" s="241"/>
      <c r="B17" s="211"/>
      <c r="C17" s="3" t="s">
        <v>76</v>
      </c>
      <c r="D17" s="44">
        <v>8576</v>
      </c>
      <c r="E17" s="33">
        <f t="shared" si="1"/>
        <v>5.6410661193990581E-2</v>
      </c>
      <c r="F17" s="28" t="e">
        <f>LOOKUP(E17,RANGOS!#REF!)</f>
        <v>#REF!</v>
      </c>
      <c r="G17" s="28">
        <f>LOOKUP(E17,RANGOS!$I$2:$J$101)</f>
        <v>1</v>
      </c>
    </row>
    <row r="18" spans="1:7" x14ac:dyDescent="0.3">
      <c r="A18" s="241"/>
      <c r="B18" s="211"/>
      <c r="C18" s="3" t="s">
        <v>77</v>
      </c>
      <c r="D18" s="44">
        <v>36535</v>
      </c>
      <c r="E18" s="33">
        <f t="shared" si="1"/>
        <v>0.2403175730786434</v>
      </c>
      <c r="F18" s="28" t="e">
        <f>LOOKUP(E18,RANGOS!#REF!)</f>
        <v>#REF!</v>
      </c>
      <c r="G18" s="28">
        <f>LOOKUP(E18,RANGOS!$I$2:$J$101)</f>
        <v>3</v>
      </c>
    </row>
    <row r="19" spans="1:7" x14ac:dyDescent="0.3">
      <c r="A19" s="241"/>
      <c r="B19" s="211"/>
      <c r="C19" s="3" t="s">
        <v>78</v>
      </c>
      <c r="D19" s="44">
        <v>7345</v>
      </c>
      <c r="E19" s="33">
        <f t="shared" si="1"/>
        <v>4.8313468571578921E-2</v>
      </c>
      <c r="F19" s="28" t="e">
        <f>LOOKUP(E19,RANGOS!#REF!)</f>
        <v>#REF!</v>
      </c>
      <c r="G19" s="28">
        <f>LOOKUP(E19,RANGOS!$I$2:$J$101)</f>
        <v>1</v>
      </c>
    </row>
    <row r="20" spans="1:7" x14ac:dyDescent="0.3">
      <c r="A20" s="241"/>
      <c r="B20" s="211"/>
      <c r="C20" s="3" t="s">
        <v>79</v>
      </c>
      <c r="D20" s="44">
        <v>36453</v>
      </c>
      <c r="E20" s="33">
        <f t="shared" si="1"/>
        <v>0.23977819875286133</v>
      </c>
      <c r="F20" s="28" t="e">
        <f>LOOKUP(E20,RANGOS!#REF!)</f>
        <v>#REF!</v>
      </c>
      <c r="G20" s="28">
        <f>LOOKUP(E20,RANGOS!$I$2:$J$101)</f>
        <v>3</v>
      </c>
    </row>
    <row r="21" spans="1:7" x14ac:dyDescent="0.3">
      <c r="A21" s="241"/>
      <c r="B21" s="212"/>
      <c r="C21" s="29" t="s">
        <v>80</v>
      </c>
      <c r="D21" s="45">
        <v>5666</v>
      </c>
      <c r="E21" s="35">
        <f t="shared" si="1"/>
        <v>3.7269450364406556E-2</v>
      </c>
      <c r="F21" s="40" t="e">
        <f>LOOKUP(E21,RANGOS!#REF!)</f>
        <v>#REF!</v>
      </c>
      <c r="G21" s="40">
        <f>LOOKUP(E21,RANGOS!$I$2:$J$101)</f>
        <v>1</v>
      </c>
    </row>
    <row r="22" spans="1:7" x14ac:dyDescent="0.3">
      <c r="A22" s="241"/>
      <c r="B22" s="204" t="s">
        <v>129</v>
      </c>
      <c r="C22" s="41" t="s">
        <v>81</v>
      </c>
      <c r="D22" s="43">
        <v>673</v>
      </c>
      <c r="E22" s="34">
        <f>D22/SUM($D$22:$D$24)</f>
        <v>3.8580600779637701E-2</v>
      </c>
      <c r="F22" s="39" t="e">
        <f>LOOKUP(E22,RANGOS!#REF!)</f>
        <v>#REF!</v>
      </c>
      <c r="G22" s="39">
        <f>LOOKUP(E22,RANGOS!$I$2:$J$101)</f>
        <v>1</v>
      </c>
    </row>
    <row r="23" spans="1:7" x14ac:dyDescent="0.3">
      <c r="A23" s="241"/>
      <c r="B23" s="205"/>
      <c r="C23" s="42" t="s">
        <v>82</v>
      </c>
      <c r="D23" s="44">
        <v>8383</v>
      </c>
      <c r="E23" s="33">
        <f>D23/SUM($D$22:$D$24)</f>
        <v>0.48056638385691353</v>
      </c>
      <c r="F23" s="28" t="e">
        <f>LOOKUP(E23,RANGOS!#REF!)</f>
        <v>#REF!</v>
      </c>
      <c r="G23" s="28">
        <f>LOOKUP(E23,RANGOS!$I$2:$J$101)</f>
        <v>3</v>
      </c>
    </row>
    <row r="24" spans="1:7" x14ac:dyDescent="0.3">
      <c r="A24" s="241"/>
      <c r="B24" s="206"/>
      <c r="C24" s="29" t="s">
        <v>83</v>
      </c>
      <c r="D24" s="45">
        <v>8388</v>
      </c>
      <c r="E24" s="35">
        <f>D24/SUM($D$22:$D$24)</f>
        <v>0.48085301536344877</v>
      </c>
      <c r="F24" s="40" t="e">
        <f>LOOKUP(E24,RANGOS!#REF!)</f>
        <v>#REF!</v>
      </c>
      <c r="G24" s="40">
        <f>LOOKUP(E24,RANGOS!$I$2:$J$101)</f>
        <v>3</v>
      </c>
    </row>
    <row r="25" spans="1:7" x14ac:dyDescent="0.3">
      <c r="A25" s="241"/>
      <c r="B25" s="204" t="s">
        <v>131</v>
      </c>
      <c r="C25" s="41" t="s">
        <v>81</v>
      </c>
      <c r="D25" s="43">
        <v>9282</v>
      </c>
      <c r="E25" s="34">
        <f>D25/SUM($D$25:$D$27)</f>
        <v>0.53094611600503372</v>
      </c>
      <c r="F25" s="39" t="e">
        <f>LOOKUP(E25,RANGOS!#REF!)</f>
        <v>#REF!</v>
      </c>
      <c r="G25" s="39">
        <f>LOOKUP(E25,RANGOS!$I$2:$J$101)</f>
        <v>4</v>
      </c>
    </row>
    <row r="26" spans="1:7" x14ac:dyDescent="0.3">
      <c r="A26" s="241"/>
      <c r="B26" s="205"/>
      <c r="C26" s="42" t="s">
        <v>84</v>
      </c>
      <c r="D26" s="44">
        <v>827</v>
      </c>
      <c r="E26" s="33">
        <f>D26/SUM($D$25:$D$27)</f>
        <v>4.7305800251687451E-2</v>
      </c>
      <c r="F26" s="28" t="e">
        <f>LOOKUP(E26,RANGOS!#REF!)</f>
        <v>#REF!</v>
      </c>
      <c r="G26" s="28">
        <f>LOOKUP(E26,RANGOS!$I$2:$J$101)</f>
        <v>1</v>
      </c>
    </row>
    <row r="27" spans="1:7" x14ac:dyDescent="0.3">
      <c r="A27" s="241"/>
      <c r="B27" s="206"/>
      <c r="C27" s="29" t="s">
        <v>182</v>
      </c>
      <c r="D27" s="45">
        <v>7373</v>
      </c>
      <c r="E27" s="35">
        <f>D27/SUM($D$25:$D$27)</f>
        <v>0.42174808374327882</v>
      </c>
      <c r="F27" s="40" t="e">
        <f>LOOKUP(E27,RANGOS!#REF!)</f>
        <v>#REF!</v>
      </c>
      <c r="G27" s="40">
        <f>LOOKUP(E27,RANGOS!$I$2:$J$101)</f>
        <v>3</v>
      </c>
    </row>
    <row r="28" spans="1:7" x14ac:dyDescent="0.3">
      <c r="A28" s="241"/>
      <c r="B28" s="204" t="s">
        <v>130</v>
      </c>
      <c r="C28" s="41" t="s">
        <v>81</v>
      </c>
      <c r="D28" s="43">
        <v>3423</v>
      </c>
      <c r="E28" s="34">
        <f>D28/SUM($D$28:$D$30)</f>
        <v>2.9950388926318367E-2</v>
      </c>
      <c r="F28" s="39" t="e">
        <f>LOOKUP(E28,RANGOS!#REF!)</f>
        <v>#REF!</v>
      </c>
      <c r="G28" s="39">
        <f>LOOKUP(E28,RANGOS!$I$2:$J$101)</f>
        <v>1</v>
      </c>
    </row>
    <row r="29" spans="1:7" x14ac:dyDescent="0.3">
      <c r="A29" s="241"/>
      <c r="B29" s="205"/>
      <c r="C29" s="42" t="s">
        <v>84</v>
      </c>
      <c r="D29" s="44">
        <v>45423</v>
      </c>
      <c r="E29" s="33">
        <f>D29/SUM($D$28:$D$30)</f>
        <v>0.39743982360507135</v>
      </c>
      <c r="F29" s="28" t="e">
        <f>LOOKUP(E29,RANGOS!#REF!)</f>
        <v>#REF!</v>
      </c>
      <c r="G29" s="28">
        <f>LOOKUP(E29,RANGOS!$I$2:$J$101)</f>
        <v>3</v>
      </c>
    </row>
    <row r="30" spans="1:7" x14ac:dyDescent="0.3">
      <c r="A30" s="241"/>
      <c r="B30" s="206"/>
      <c r="C30" s="29" t="s">
        <v>140</v>
      </c>
      <c r="D30" s="45">
        <v>65443</v>
      </c>
      <c r="E30" s="35">
        <f>D30/SUM($D$28:$D$30)</f>
        <v>0.57260978746861024</v>
      </c>
      <c r="F30" s="40" t="e">
        <f>LOOKUP(E30,RANGOS!#REF!)</f>
        <v>#REF!</v>
      </c>
      <c r="G30" s="40">
        <f>LOOKUP(E30,RANGOS!$I$2:$J$101)</f>
        <v>4</v>
      </c>
    </row>
    <row r="31" spans="1:7" x14ac:dyDescent="0.3">
      <c r="A31" s="241"/>
      <c r="B31" s="210" t="s">
        <v>126</v>
      </c>
      <c r="C31" s="20" t="s">
        <v>10</v>
      </c>
      <c r="D31" s="43">
        <v>543</v>
      </c>
      <c r="E31" s="34">
        <f>D31/SUM($D$31:$D$33)</f>
        <v>0.11260887598506844</v>
      </c>
      <c r="F31" s="39" t="e">
        <f>LOOKUP(E31,RANGOS!#REF!)</f>
        <v>#REF!</v>
      </c>
      <c r="G31" s="39">
        <f>LOOKUP(E31,RANGOS!$I$2:$J$101)</f>
        <v>2</v>
      </c>
    </row>
    <row r="32" spans="1:7" x14ac:dyDescent="0.3">
      <c r="A32" s="241"/>
      <c r="B32" s="211"/>
      <c r="C32" s="3" t="s">
        <v>11</v>
      </c>
      <c r="D32" s="44">
        <v>4236</v>
      </c>
      <c r="E32" s="33">
        <f>D32/SUM($D$31:$D$33)</f>
        <v>0.87847366238075486</v>
      </c>
      <c r="F32" s="28" t="e">
        <f>LOOKUP(E32,RANGOS!#REF!)</f>
        <v>#REF!</v>
      </c>
      <c r="G32" s="28">
        <f>LOOKUP(E32,RANGOS!$I$2:$J$101)</f>
        <v>5</v>
      </c>
    </row>
    <row r="33" spans="1:7" x14ac:dyDescent="0.3">
      <c r="A33" s="241"/>
      <c r="B33" s="212"/>
      <c r="C33" s="29" t="s">
        <v>12</v>
      </c>
      <c r="D33" s="45">
        <v>43</v>
      </c>
      <c r="E33" s="35">
        <f>D33/SUM($D$31:$D$33)</f>
        <v>8.9174616341766901E-3</v>
      </c>
      <c r="F33" s="40" t="e">
        <f>LOOKUP(E33,RANGOS!#REF!)</f>
        <v>#REF!</v>
      </c>
      <c r="G33" s="40">
        <f>LOOKUP(E33,RANGOS!$I$2:$J$101)</f>
        <v>1</v>
      </c>
    </row>
    <row r="34" spans="1:7" x14ac:dyDescent="0.3">
      <c r="A34" s="241"/>
      <c r="B34" s="210" t="s">
        <v>127</v>
      </c>
      <c r="C34" s="20" t="s">
        <v>85</v>
      </c>
      <c r="D34" s="43">
        <v>24545</v>
      </c>
      <c r="E34" s="34">
        <f>D34/SUM($D$34:$D$35)</f>
        <v>0.84347079037800687</v>
      </c>
      <c r="F34" s="39" t="e">
        <f>LOOKUP(E34,RANGOS!#REF!)</f>
        <v>#REF!</v>
      </c>
      <c r="G34" s="39">
        <f>LOOKUP(E34,RANGOS!$I$2:$J$101)</f>
        <v>5</v>
      </c>
    </row>
    <row r="35" spans="1:7" x14ac:dyDescent="0.3">
      <c r="A35" s="241"/>
      <c r="B35" s="212"/>
      <c r="C35" s="29" t="s">
        <v>86</v>
      </c>
      <c r="D35" s="45">
        <v>4555</v>
      </c>
      <c r="E35" s="35">
        <f>D35/SUM($D$34:$D$35)</f>
        <v>0.15652920962199313</v>
      </c>
      <c r="F35" s="40" t="e">
        <f>LOOKUP(E35,RANGOS!#REF!)</f>
        <v>#REF!</v>
      </c>
      <c r="G35" s="40">
        <f>LOOKUP(E35,RANGOS!$I$2:$J$101)</f>
        <v>2</v>
      </c>
    </row>
    <row r="36" spans="1:7" x14ac:dyDescent="0.3">
      <c r="A36" s="241"/>
      <c r="B36" s="210" t="s">
        <v>128</v>
      </c>
      <c r="C36" s="20" t="s">
        <v>87</v>
      </c>
      <c r="D36" s="43">
        <v>435</v>
      </c>
      <c r="E36" s="34">
        <f>D36/SUM($D$36:$D$39)</f>
        <v>0.52536231884057971</v>
      </c>
      <c r="F36" s="39" t="e">
        <f>LOOKUP(E36,RANGOS!#REF!)</f>
        <v>#REF!</v>
      </c>
      <c r="G36" s="39">
        <f>LOOKUP(E36,RANGOS!$I$2:$J$101)</f>
        <v>4</v>
      </c>
    </row>
    <row r="37" spans="1:7" x14ac:dyDescent="0.3">
      <c r="A37" s="241"/>
      <c r="B37" s="211"/>
      <c r="C37" s="3" t="s">
        <v>88</v>
      </c>
      <c r="D37" s="44">
        <v>45</v>
      </c>
      <c r="E37" s="33">
        <f>D37/SUM($D$36:$D$39)</f>
        <v>5.434782608695652E-2</v>
      </c>
      <c r="F37" s="28" t="e">
        <f>LOOKUP(E37,RANGOS!#REF!)</f>
        <v>#REF!</v>
      </c>
      <c r="G37" s="28">
        <f>LOOKUP(E37,RANGOS!$I$2:$J$101)</f>
        <v>1</v>
      </c>
    </row>
    <row r="38" spans="1:7" x14ac:dyDescent="0.3">
      <c r="A38" s="241"/>
      <c r="B38" s="211"/>
      <c r="C38" s="3" t="s">
        <v>89</v>
      </c>
      <c r="D38" s="44">
        <v>3</v>
      </c>
      <c r="E38" s="33">
        <f>D38/SUM($D$36:$D$39)</f>
        <v>3.6231884057971015E-3</v>
      </c>
      <c r="F38" s="28" t="e">
        <f>LOOKUP(E38,RANGOS!#REF!)</f>
        <v>#REF!</v>
      </c>
      <c r="G38" s="28">
        <f>LOOKUP(E38,RANGOS!$I$2:$J$101)</f>
        <v>1</v>
      </c>
    </row>
    <row r="39" spans="1:7" x14ac:dyDescent="0.3">
      <c r="A39" s="241"/>
      <c r="B39" s="212"/>
      <c r="C39" s="29" t="s">
        <v>90</v>
      </c>
      <c r="D39" s="45">
        <v>345</v>
      </c>
      <c r="E39" s="35">
        <f>D39/SUM($D$36:$D$39)</f>
        <v>0.41666666666666669</v>
      </c>
      <c r="F39" s="40" t="e">
        <f>LOOKUP(E39,RANGOS!#REF!)</f>
        <v>#REF!</v>
      </c>
      <c r="G39" s="40">
        <f>LOOKUP(E39,RANGOS!$I$2:$J$101)</f>
        <v>3</v>
      </c>
    </row>
    <row r="40" spans="1:7" x14ac:dyDescent="0.3">
      <c r="A40" s="241"/>
      <c r="B40" s="204" t="s">
        <v>132</v>
      </c>
      <c r="C40" s="20" t="s">
        <v>53</v>
      </c>
      <c r="D40" s="43">
        <v>3454</v>
      </c>
      <c r="E40" s="34">
        <f>D40/SUM($D$40:$D$42)</f>
        <v>0.85643441606744364</v>
      </c>
      <c r="F40" s="39" t="e">
        <f>LOOKUP(E40,RANGOS!#REF!)</f>
        <v>#REF!</v>
      </c>
      <c r="G40" s="39">
        <f>LOOKUP(E40,RANGOS!$I$2:$J$101)</f>
        <v>5</v>
      </c>
    </row>
    <row r="41" spans="1:7" x14ac:dyDescent="0.3">
      <c r="A41" s="241"/>
      <c r="B41" s="205"/>
      <c r="C41" s="3" t="s">
        <v>54</v>
      </c>
      <c r="D41" s="44">
        <v>45</v>
      </c>
      <c r="E41" s="33">
        <f>D41/SUM($D$40:$D$42)</f>
        <v>1.1157946937763452E-2</v>
      </c>
      <c r="F41" s="28" t="e">
        <f>LOOKUP(E41,RANGOS!#REF!)</f>
        <v>#REF!</v>
      </c>
      <c r="G41" s="28">
        <f>LOOKUP(E41,RANGOS!$I$2:$J$101)</f>
        <v>1</v>
      </c>
    </row>
    <row r="42" spans="1:7" ht="15" thickBot="1" x14ac:dyDescent="0.35">
      <c r="A42" s="242"/>
      <c r="B42" s="224"/>
      <c r="C42" s="75" t="s">
        <v>196</v>
      </c>
      <c r="D42" s="109">
        <v>534</v>
      </c>
      <c r="E42" s="110">
        <f>D42/SUM($D$40:$D$42)</f>
        <v>0.13240763699479297</v>
      </c>
      <c r="F42" s="97" t="e">
        <f>LOOKUP(E42,RANGOS!#REF!)</f>
        <v>#REF!</v>
      </c>
      <c r="G42" s="97">
        <f>LOOKUP(E42,RANGOS!$I$2:$J$101)</f>
        <v>2</v>
      </c>
    </row>
  </sheetData>
  <mergeCells count="11">
    <mergeCell ref="A6:A42"/>
    <mergeCell ref="B36:B39"/>
    <mergeCell ref="B40:B42"/>
    <mergeCell ref="F5:G5"/>
    <mergeCell ref="B25:B27"/>
    <mergeCell ref="B31:B33"/>
    <mergeCell ref="B34:B35"/>
    <mergeCell ref="B6:B13"/>
    <mergeCell ref="B14:B21"/>
    <mergeCell ref="B22:B24"/>
    <mergeCell ref="B28:B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S53"/>
  <sheetViews>
    <sheetView zoomScale="130" zoomScaleNormal="130" workbookViewId="0">
      <selection activeCell="M7" sqref="M7:M9"/>
    </sheetView>
  </sheetViews>
  <sheetFormatPr baseColWidth="10" defaultRowHeight="14.4" x14ac:dyDescent="0.3"/>
  <cols>
    <col min="1" max="1" width="13.33203125" style="1" customWidth="1"/>
    <col min="2" max="2" width="5.88671875" customWidth="1"/>
    <col min="3" max="3" width="22.44140625" customWidth="1"/>
    <col min="4" max="4" width="4.5546875" customWidth="1"/>
    <col min="5" max="5" width="25.5546875" customWidth="1"/>
    <col min="6" max="6" width="10.6640625" customWidth="1"/>
    <col min="7" max="7" width="5.33203125" customWidth="1"/>
    <col min="9" max="9" width="4.44140625" customWidth="1"/>
    <col min="10" max="10" width="11.44140625" customWidth="1"/>
    <col min="11" max="11" width="6.5546875" customWidth="1"/>
    <col min="12" max="12" width="7.109375" customWidth="1"/>
    <col min="13" max="13" width="21.5546875" customWidth="1"/>
    <col min="15" max="15" width="6.109375" customWidth="1"/>
    <col min="16" max="16" width="10.44140625" customWidth="1"/>
    <col min="17" max="17" width="6.5546875" customWidth="1"/>
    <col min="18" max="18" width="9.44140625" customWidth="1"/>
  </cols>
  <sheetData>
    <row r="1" spans="1:19" ht="20.399999999999999" x14ac:dyDescent="0.35">
      <c r="A1" s="115" t="s">
        <v>57</v>
      </c>
      <c r="B1" s="112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</row>
    <row r="2" spans="1:19" ht="15" customHeight="1" x14ac:dyDescent="0.35">
      <c r="A2" s="115"/>
      <c r="B2" s="112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</row>
    <row r="3" spans="1:19" ht="27.75" customHeight="1" thickBot="1" x14ac:dyDescent="0.35">
      <c r="A3" s="118" t="s">
        <v>0</v>
      </c>
      <c r="B3" s="118"/>
      <c r="C3" s="118" t="s">
        <v>1</v>
      </c>
      <c r="D3" s="118"/>
      <c r="E3" s="118" t="s">
        <v>2</v>
      </c>
      <c r="F3" s="152" t="s">
        <v>13</v>
      </c>
      <c r="G3" s="152"/>
      <c r="H3" s="152" t="s">
        <v>16</v>
      </c>
      <c r="I3" s="152"/>
      <c r="J3" s="152" t="s">
        <v>29</v>
      </c>
      <c r="K3" s="152"/>
      <c r="L3" s="118" t="s">
        <v>122</v>
      </c>
      <c r="M3" s="118" t="s">
        <v>173</v>
      </c>
      <c r="N3" s="152" t="s">
        <v>157</v>
      </c>
      <c r="O3" s="152"/>
      <c r="P3" s="152" t="s">
        <v>147</v>
      </c>
      <c r="Q3" s="152"/>
      <c r="R3" s="118" t="s">
        <v>122</v>
      </c>
    </row>
    <row r="4" spans="1:19" ht="15" customHeight="1" x14ac:dyDescent="0.3">
      <c r="A4" s="257" t="s">
        <v>164</v>
      </c>
      <c r="B4" s="252">
        <v>0.4</v>
      </c>
      <c r="C4" s="254" t="s">
        <v>165</v>
      </c>
      <c r="D4" s="244">
        <v>0.2</v>
      </c>
      <c r="E4" s="80" t="s">
        <v>10</v>
      </c>
      <c r="F4" s="81" t="str">
        <f>LOOKUP(G4,RANGOS!$A$2:$B$6)</f>
        <v xml:space="preserve">Muy baja </v>
      </c>
      <c r="G4" s="82">
        <v>1</v>
      </c>
      <c r="H4" s="81" t="str">
        <f>LOOKUP(I4,RANGOS!$A$9:$B$13)</f>
        <v xml:space="preserve">Muy alto </v>
      </c>
      <c r="I4" s="83">
        <f>'Data servicios'!G6</f>
        <v>5</v>
      </c>
      <c r="J4" s="81" t="str">
        <f>LOOKUP(K4,RANGOS!$F$2:$G$26)</f>
        <v>BAJO</v>
      </c>
      <c r="K4" s="81">
        <f t="shared" ref="K4:K19" si="0">G4*I4</f>
        <v>5</v>
      </c>
      <c r="L4" s="259">
        <f>$B$4*$D$4*AVERAGE(K4:K6)</f>
        <v>0.24000000000000005</v>
      </c>
      <c r="M4" s="262" t="s">
        <v>214</v>
      </c>
      <c r="N4" s="256" t="str">
        <f>LOOKUP(O4,RANGOS!$A$16:$B$20)</f>
        <v>Alto</v>
      </c>
      <c r="O4" s="256">
        <v>4</v>
      </c>
      <c r="P4" s="81" t="str">
        <f>LOOKUP(Q4,RANGOS!$F$2:$G$26)</f>
        <v xml:space="preserve">MUY BAJO </v>
      </c>
      <c r="Q4" s="81">
        <f>K4/$O$4</f>
        <v>1.25</v>
      </c>
      <c r="R4" s="259">
        <f>$B$4*$D$4*AVERAGE(Q4:Q6)</f>
        <v>6.0000000000000012E-2</v>
      </c>
      <c r="S4" s="66"/>
    </row>
    <row r="5" spans="1:19" x14ac:dyDescent="0.3">
      <c r="A5" s="170"/>
      <c r="B5" s="148"/>
      <c r="C5" s="246"/>
      <c r="D5" s="175"/>
      <c r="E5" s="3" t="s">
        <v>11</v>
      </c>
      <c r="F5" s="27" t="s">
        <v>24</v>
      </c>
      <c r="G5" s="47">
        <v>1</v>
      </c>
      <c r="H5" s="27" t="str">
        <f>LOOKUP(I5,RANGOS!$A$9:$B$13)</f>
        <v xml:space="preserve">Bajo </v>
      </c>
      <c r="I5" s="51">
        <f>'Data servicios'!G7</f>
        <v>2</v>
      </c>
      <c r="J5" s="27" t="str">
        <f>LOOKUP(K5,RANGOS!$F$2:$G$26)</f>
        <v>BAJO</v>
      </c>
      <c r="K5" s="27">
        <f t="shared" si="0"/>
        <v>2</v>
      </c>
      <c r="L5" s="166"/>
      <c r="M5" s="263"/>
      <c r="N5" s="149"/>
      <c r="O5" s="149"/>
      <c r="P5" s="27" t="str">
        <f>LOOKUP(Q5,RANGOS!$F$2:$G$26)</f>
        <v xml:space="preserve">MUY BAJO </v>
      </c>
      <c r="Q5" s="27">
        <f>K5/$O$4</f>
        <v>0.5</v>
      </c>
      <c r="R5" s="166"/>
      <c r="S5" s="66"/>
    </row>
    <row r="6" spans="1:19" ht="15" thickBot="1" x14ac:dyDescent="0.35">
      <c r="A6" s="170"/>
      <c r="B6" s="148"/>
      <c r="C6" s="247"/>
      <c r="D6" s="175"/>
      <c r="E6" s="29" t="s">
        <v>12</v>
      </c>
      <c r="F6" s="27" t="s">
        <v>24</v>
      </c>
      <c r="G6" s="47">
        <v>1</v>
      </c>
      <c r="H6" s="27" t="str">
        <f>LOOKUP(I6,RANGOS!$A$9:$B$13)</f>
        <v xml:space="preserve">Bajo </v>
      </c>
      <c r="I6" s="56">
        <f>'Data servicios'!G8</f>
        <v>2</v>
      </c>
      <c r="J6" s="27" t="str">
        <f>LOOKUP(K6,RANGOS!$F$2:$G$26)</f>
        <v>BAJO</v>
      </c>
      <c r="K6" s="27">
        <f t="shared" si="0"/>
        <v>2</v>
      </c>
      <c r="L6" s="166"/>
      <c r="M6" s="263"/>
      <c r="N6" s="191"/>
      <c r="O6" s="149"/>
      <c r="P6" s="27" t="str">
        <f>LOOKUP(Q6,RANGOS!$F$2:$G$26)</f>
        <v xml:space="preserve">MUY BAJO </v>
      </c>
      <c r="Q6" s="96">
        <f>K6/$O$4</f>
        <v>0.5</v>
      </c>
      <c r="R6" s="166"/>
      <c r="S6" s="66"/>
    </row>
    <row r="7" spans="1:19" x14ac:dyDescent="0.3">
      <c r="A7" s="170"/>
      <c r="B7" s="148"/>
      <c r="C7" s="245" t="s">
        <v>166</v>
      </c>
      <c r="D7" s="174">
        <v>0.2</v>
      </c>
      <c r="E7" s="20" t="s">
        <v>10</v>
      </c>
      <c r="F7" s="95" t="s">
        <v>24</v>
      </c>
      <c r="G7" s="49">
        <v>1</v>
      </c>
      <c r="H7" s="95" t="str">
        <f>LOOKUP(I7,RANGOS!$A$9:$B$13)</f>
        <v xml:space="preserve">Bajo </v>
      </c>
      <c r="I7" s="51">
        <f>'Data servicios'!G9</f>
        <v>2</v>
      </c>
      <c r="J7" s="95" t="str">
        <f>LOOKUP(K7,RANGOS!$F$2:$G$26)</f>
        <v>BAJO</v>
      </c>
      <c r="K7" s="95">
        <f t="shared" si="0"/>
        <v>2</v>
      </c>
      <c r="L7" s="168">
        <f>$B$4*$D$7*AVERAGE(K7:K9)</f>
        <v>0.45333333333333342</v>
      </c>
      <c r="M7" s="262" t="s">
        <v>218</v>
      </c>
      <c r="N7" s="149" t="str">
        <f>LOOKUP(O7,RANGOS!$A$16:$B$20)</f>
        <v>Alto</v>
      </c>
      <c r="O7" s="190">
        <v>4</v>
      </c>
      <c r="P7" s="95" t="str">
        <f>LOOKUP(Q7,RANGOS!$F$2:$G$26)</f>
        <v xml:space="preserve">MUY BAJO </v>
      </c>
      <c r="Q7" s="95">
        <f>K7/$O$7</f>
        <v>0.5</v>
      </c>
      <c r="R7" s="168">
        <f>$B$4*$D$7*AVERAGE(Q7:Q9)</f>
        <v>0.11333333333333336</v>
      </c>
      <c r="S7" s="66"/>
    </row>
    <row r="8" spans="1:19" ht="15.75" customHeight="1" x14ac:dyDescent="0.3">
      <c r="A8" s="170"/>
      <c r="B8" s="148"/>
      <c r="C8" s="246"/>
      <c r="D8" s="175"/>
      <c r="E8" s="3" t="s">
        <v>11</v>
      </c>
      <c r="F8" s="27" t="s">
        <v>25</v>
      </c>
      <c r="G8" s="47">
        <v>5</v>
      </c>
      <c r="H8" s="27" t="str">
        <f>LOOKUP(I8,RANGOS!$A$9:$B$13)</f>
        <v xml:space="preserve">Bajo </v>
      </c>
      <c r="I8" s="51">
        <f>'Data servicios'!G10</f>
        <v>2</v>
      </c>
      <c r="J8" s="27" t="str">
        <f>LOOKUP(K8,RANGOS!$F$2:$G$26)</f>
        <v xml:space="preserve">MEDIO </v>
      </c>
      <c r="K8" s="27">
        <f t="shared" si="0"/>
        <v>10</v>
      </c>
      <c r="L8" s="166"/>
      <c r="M8" s="263"/>
      <c r="N8" s="149"/>
      <c r="O8" s="149"/>
      <c r="P8" s="27" t="str">
        <f>LOOKUP(Q8,RANGOS!$F$2:$G$26)</f>
        <v>BAJO</v>
      </c>
      <c r="Q8" s="27">
        <f>K8/$O$7</f>
        <v>2.5</v>
      </c>
      <c r="R8" s="166"/>
      <c r="S8" s="66"/>
    </row>
    <row r="9" spans="1:19" x14ac:dyDescent="0.3">
      <c r="A9" s="170"/>
      <c r="B9" s="148"/>
      <c r="C9" s="247"/>
      <c r="D9" s="176"/>
      <c r="E9" s="29" t="s">
        <v>12</v>
      </c>
      <c r="F9" s="96" t="str">
        <f>LOOKUP(G9,RANGOS!$A$2:$B$6)</f>
        <v xml:space="preserve">Muy baja </v>
      </c>
      <c r="G9" s="48">
        <v>1</v>
      </c>
      <c r="H9" s="96" t="str">
        <f>LOOKUP(I9,RANGOS!$A$9:$B$13)</f>
        <v xml:space="preserve">Muy alto </v>
      </c>
      <c r="I9" s="51">
        <f>'Data servicios'!G11</f>
        <v>5</v>
      </c>
      <c r="J9" s="96" t="str">
        <f>LOOKUP(K9,RANGOS!$F$2:$G$26)</f>
        <v>BAJO</v>
      </c>
      <c r="K9" s="96">
        <f t="shared" si="0"/>
        <v>5</v>
      </c>
      <c r="L9" s="167"/>
      <c r="M9" s="263"/>
      <c r="N9" s="149"/>
      <c r="O9" s="191"/>
      <c r="P9" s="96" t="str">
        <f>LOOKUP(Q9,RANGOS!$F$2:$G$26)</f>
        <v xml:space="preserve">MUY BAJO </v>
      </c>
      <c r="Q9" s="96">
        <f>K9/$O$7</f>
        <v>1.25</v>
      </c>
      <c r="R9" s="167"/>
      <c r="S9" s="66"/>
    </row>
    <row r="10" spans="1:19" x14ac:dyDescent="0.3">
      <c r="A10" s="170"/>
      <c r="B10" s="148"/>
      <c r="C10" s="245" t="s">
        <v>9</v>
      </c>
      <c r="D10" s="175">
        <v>0.1</v>
      </c>
      <c r="E10" s="20" t="s">
        <v>94</v>
      </c>
      <c r="F10" s="27" t="str">
        <f>LOOKUP(G10,RANGOS!$A$2:$B$6)</f>
        <v xml:space="preserve">Muy baja </v>
      </c>
      <c r="G10" s="47">
        <v>1</v>
      </c>
      <c r="H10" s="27" t="str">
        <f>LOOKUP(I10,RANGOS!$A$9:$B$13)</f>
        <v xml:space="preserve">Bajo </v>
      </c>
      <c r="I10" s="55">
        <f>'Data servicios'!G12</f>
        <v>2</v>
      </c>
      <c r="J10" s="27" t="str">
        <f>LOOKUP(K10,RANGOS!$F$2:$G$26)</f>
        <v>BAJO</v>
      </c>
      <c r="K10" s="27">
        <f t="shared" si="0"/>
        <v>2</v>
      </c>
      <c r="L10" s="166">
        <f>$B$4*$D$10*AVERAGE(K10:K11)</f>
        <v>0.14000000000000001</v>
      </c>
      <c r="M10" s="263"/>
      <c r="N10" s="190" t="str">
        <f>LOOKUP(O10,RANGOS!$A$16:$B$20)</f>
        <v>Alto</v>
      </c>
      <c r="O10" s="149">
        <v>4</v>
      </c>
      <c r="P10" s="27" t="str">
        <f>LOOKUP(Q10,RANGOS!$F$2:$G$26)</f>
        <v xml:space="preserve">MUY BAJO </v>
      </c>
      <c r="Q10" s="27">
        <f>K10/$O$10</f>
        <v>0.5</v>
      </c>
      <c r="R10" s="166">
        <f>$B$4*$D$10*AVERAGE(Q10:Q11)</f>
        <v>3.5000000000000003E-2</v>
      </c>
      <c r="S10" s="66"/>
    </row>
    <row r="11" spans="1:19" x14ac:dyDescent="0.3">
      <c r="A11" s="170"/>
      <c r="B11" s="148"/>
      <c r="C11" s="247"/>
      <c r="D11" s="175"/>
      <c r="E11" s="29" t="s">
        <v>95</v>
      </c>
      <c r="F11" s="27" t="str">
        <f>LOOKUP(G11,RANGOS!$A$2:$B$6)</f>
        <v xml:space="preserve">Muy baja </v>
      </c>
      <c r="G11" s="47">
        <v>1</v>
      </c>
      <c r="H11" s="27" t="str">
        <f>LOOKUP(I11,RANGOS!$A$9:$B$13)</f>
        <v xml:space="preserve">Muy alto </v>
      </c>
      <c r="I11" s="56">
        <f>'Data servicios'!G13</f>
        <v>5</v>
      </c>
      <c r="J11" s="27" t="str">
        <f>LOOKUP(K11,RANGOS!$F$2:$G$26)</f>
        <v>BAJO</v>
      </c>
      <c r="K11" s="27">
        <f t="shared" si="0"/>
        <v>5</v>
      </c>
      <c r="L11" s="166"/>
      <c r="M11" s="263"/>
      <c r="N11" s="191"/>
      <c r="O11" s="149"/>
      <c r="P11" s="27" t="str">
        <f>LOOKUP(Q11,RANGOS!$F$2:$G$26)</f>
        <v xml:space="preserve">MUY BAJO </v>
      </c>
      <c r="Q11" s="27">
        <f>K11/$O$10</f>
        <v>1.25</v>
      </c>
      <c r="R11" s="166"/>
      <c r="S11" s="66"/>
    </row>
    <row r="12" spans="1:19" ht="15" customHeight="1" x14ac:dyDescent="0.3">
      <c r="A12" s="170"/>
      <c r="B12" s="148"/>
      <c r="C12" s="248" t="s">
        <v>134</v>
      </c>
      <c r="D12" s="174">
        <v>0.15</v>
      </c>
      <c r="E12" s="41" t="s">
        <v>144</v>
      </c>
      <c r="F12" s="95" t="str">
        <f>LOOKUP(G12,RANGOS!$A$2:$B$6)</f>
        <v xml:space="preserve">Muy baja </v>
      </c>
      <c r="G12" s="49">
        <v>1</v>
      </c>
      <c r="H12" s="95" t="str">
        <f>LOOKUP(I12,RANGOS!$A$9:$B$13)</f>
        <v>Medio</v>
      </c>
      <c r="I12" s="51">
        <f>'Data servicios'!G14</f>
        <v>3</v>
      </c>
      <c r="J12" s="95" t="str">
        <f>LOOKUP(K12,RANGOS!$F$2:$G$26)</f>
        <v>BAJO</v>
      </c>
      <c r="K12" s="95">
        <f t="shared" si="0"/>
        <v>3</v>
      </c>
      <c r="L12" s="168">
        <f>$B$4*$D$12*AVERAGE(K12:K14)</f>
        <v>0.14000000000000001</v>
      </c>
      <c r="M12" s="264"/>
      <c r="N12" s="149" t="str">
        <f>LOOKUP(O12,RANGOS!$A$16:$B$20)</f>
        <v>Alto</v>
      </c>
      <c r="O12" s="157">
        <v>4</v>
      </c>
      <c r="P12" s="95" t="str">
        <f>LOOKUP(Q12,RANGOS!$F$2:$G$26)</f>
        <v>BAJO</v>
      </c>
      <c r="Q12" s="95">
        <f>K12/$O$24</f>
        <v>3</v>
      </c>
      <c r="R12" s="168">
        <f>$B$4*$D$12*AVERAGE(Q12:Q14)</f>
        <v>0.14000000000000001</v>
      </c>
      <c r="S12" s="66"/>
    </row>
    <row r="13" spans="1:19" x14ac:dyDescent="0.3">
      <c r="A13" s="170"/>
      <c r="B13" s="148"/>
      <c r="C13" s="249"/>
      <c r="D13" s="175"/>
      <c r="E13" s="42" t="s">
        <v>145</v>
      </c>
      <c r="F13" s="27" t="str">
        <f>LOOKUP(G13,RANGOS!$A$2:$B$6)</f>
        <v xml:space="preserve">Muy baja </v>
      </c>
      <c r="G13" s="47">
        <v>1</v>
      </c>
      <c r="H13" s="27" t="str">
        <f>LOOKUP(I13,RANGOS!$A$9:$B$13)</f>
        <v>Medio</v>
      </c>
      <c r="I13" s="51">
        <f>'Data servicios'!G15</f>
        <v>3</v>
      </c>
      <c r="J13" s="27" t="str">
        <f>LOOKUP(K13,RANGOS!$F$2:$G$26)</f>
        <v>BAJO</v>
      </c>
      <c r="K13" s="27">
        <f t="shared" si="0"/>
        <v>3</v>
      </c>
      <c r="L13" s="166"/>
      <c r="M13" s="263"/>
      <c r="N13" s="149"/>
      <c r="O13" s="146"/>
      <c r="P13" s="27" t="str">
        <f>LOOKUP(Q13,RANGOS!$F$2:$G$26)</f>
        <v>BAJO</v>
      </c>
      <c r="Q13" s="27">
        <f>K13/$O$24</f>
        <v>3</v>
      </c>
      <c r="R13" s="166"/>
      <c r="S13" s="66"/>
    </row>
    <row r="14" spans="1:19" x14ac:dyDescent="0.3">
      <c r="A14" s="170"/>
      <c r="B14" s="148"/>
      <c r="C14" s="250"/>
      <c r="D14" s="176"/>
      <c r="E14" s="29" t="s">
        <v>146</v>
      </c>
      <c r="F14" s="96" t="str">
        <f>LOOKUP(G14,RANGOS!$A$2:$B$6)</f>
        <v xml:space="preserve">Muy baja </v>
      </c>
      <c r="G14" s="48">
        <v>1</v>
      </c>
      <c r="H14" s="96" t="str">
        <f>LOOKUP(I14,RANGOS!$A$9:$B$13)</f>
        <v xml:space="preserve">Muy bajo </v>
      </c>
      <c r="I14" s="56">
        <f>'Data servicios'!G16</f>
        <v>1</v>
      </c>
      <c r="J14" s="96" t="str">
        <f>LOOKUP(K14,RANGOS!$F$2:$G$26)</f>
        <v xml:space="preserve">MUY BAJO </v>
      </c>
      <c r="K14" s="96">
        <f t="shared" si="0"/>
        <v>1</v>
      </c>
      <c r="L14" s="167"/>
      <c r="M14" s="265"/>
      <c r="N14" s="149"/>
      <c r="O14" s="158"/>
      <c r="P14" s="96" t="str">
        <f>LOOKUP(Q14,RANGOS!$F$2:$G$26)</f>
        <v xml:space="preserve">MUY BAJO </v>
      </c>
      <c r="Q14" s="96">
        <f>K14/$O$24</f>
        <v>1</v>
      </c>
      <c r="R14" s="167"/>
      <c r="S14" s="66"/>
    </row>
    <row r="15" spans="1:19" ht="15" customHeight="1" x14ac:dyDescent="0.3">
      <c r="A15" s="170"/>
      <c r="B15" s="148"/>
      <c r="C15" s="248" t="s">
        <v>130</v>
      </c>
      <c r="D15" s="175">
        <v>0.15</v>
      </c>
      <c r="E15" s="41" t="s">
        <v>144</v>
      </c>
      <c r="F15" s="27" t="str">
        <f>LOOKUP(G15,RANGOS!$A$2:$B$6)</f>
        <v xml:space="preserve">Muy baja </v>
      </c>
      <c r="G15" s="47">
        <v>1</v>
      </c>
      <c r="H15" s="27" t="str">
        <f>LOOKUP(I15,RANGOS!$A$9:$B$13)</f>
        <v xml:space="preserve">Muy bajo </v>
      </c>
      <c r="I15" s="51">
        <f>'Data servicios'!G17</f>
        <v>1</v>
      </c>
      <c r="J15" s="27" t="str">
        <f>LOOKUP(K15,RANGOS!$F$2:$G$26)</f>
        <v xml:space="preserve">MUY BAJO </v>
      </c>
      <c r="K15" s="27">
        <f t="shared" ref="K15:K16" si="1">G15*I15</f>
        <v>1</v>
      </c>
      <c r="L15" s="166">
        <f>$B$4*$D$15*AVERAGE(K15:K17)</f>
        <v>0.15999999999999998</v>
      </c>
      <c r="M15" s="263"/>
      <c r="N15" s="190" t="str">
        <f>LOOKUP(O15,RANGOS!$A$16:$B$20)</f>
        <v>Alto</v>
      </c>
      <c r="O15" s="146">
        <v>4</v>
      </c>
      <c r="P15" s="27" t="str">
        <f>LOOKUP(Q15,RANGOS!$F$2:$G$26)</f>
        <v xml:space="preserve">MUY BAJO </v>
      </c>
      <c r="Q15" s="95">
        <f>K15/$O$15</f>
        <v>0.25</v>
      </c>
      <c r="R15" s="166">
        <f>$B$4*$D$15*AVERAGE(Q15:Q17)</f>
        <v>3.9999999999999994E-2</v>
      </c>
      <c r="S15" s="66"/>
    </row>
    <row r="16" spans="1:19" x14ac:dyDescent="0.3">
      <c r="A16" s="170"/>
      <c r="B16" s="148"/>
      <c r="C16" s="249"/>
      <c r="D16" s="175"/>
      <c r="E16" s="42" t="s">
        <v>145</v>
      </c>
      <c r="F16" s="27" t="str">
        <f>LOOKUP(G16,RANGOS!$A$2:$B$6)</f>
        <v xml:space="preserve">Muy baja </v>
      </c>
      <c r="G16" s="47">
        <v>1</v>
      </c>
      <c r="H16" s="27" t="str">
        <f>LOOKUP(I16,RANGOS!$A$9:$B$13)</f>
        <v>Medio</v>
      </c>
      <c r="I16" s="51">
        <f>'Data servicios'!G18</f>
        <v>3</v>
      </c>
      <c r="J16" s="27" t="str">
        <f>LOOKUP(K16,RANGOS!$F$2:$G$26)</f>
        <v>BAJO</v>
      </c>
      <c r="K16" s="27">
        <f t="shared" si="1"/>
        <v>3</v>
      </c>
      <c r="L16" s="166"/>
      <c r="M16" s="263"/>
      <c r="N16" s="149"/>
      <c r="O16" s="146"/>
      <c r="P16" s="27" t="str">
        <f>LOOKUP(Q16,RANGOS!$F$2:$G$26)</f>
        <v xml:space="preserve">MUY BAJO </v>
      </c>
      <c r="Q16" s="27">
        <f>K16/$O$15</f>
        <v>0.75</v>
      </c>
      <c r="R16" s="166"/>
      <c r="S16" s="66"/>
    </row>
    <row r="17" spans="1:19" x14ac:dyDescent="0.3">
      <c r="A17" s="170"/>
      <c r="B17" s="148"/>
      <c r="C17" s="250"/>
      <c r="D17" s="175"/>
      <c r="E17" s="29" t="s">
        <v>146</v>
      </c>
      <c r="F17" s="27" t="str">
        <f>LOOKUP(G17,RANGOS!$A$2:$B$6)</f>
        <v xml:space="preserve">Muy baja </v>
      </c>
      <c r="G17" s="47">
        <v>1</v>
      </c>
      <c r="H17" s="27" t="str">
        <f>LOOKUP(I17,RANGOS!$A$9:$B$13)</f>
        <v>Alto</v>
      </c>
      <c r="I17" s="51">
        <f>'Data servicios'!G19</f>
        <v>4</v>
      </c>
      <c r="J17" s="27" t="str">
        <f>LOOKUP(K17,RANGOS!$F$2:$G$26)</f>
        <v>BAJO</v>
      </c>
      <c r="K17" s="27">
        <f t="shared" ref="K17" si="2">G17*I17</f>
        <v>4</v>
      </c>
      <c r="L17" s="166"/>
      <c r="M17" s="263"/>
      <c r="N17" s="191"/>
      <c r="O17" s="146"/>
      <c r="P17" s="27" t="str">
        <f>LOOKUP(Q17,RANGOS!$F$2:$G$26)</f>
        <v xml:space="preserve">MUY BAJO </v>
      </c>
      <c r="Q17" s="96">
        <f>K17/$O$15</f>
        <v>1</v>
      </c>
      <c r="R17" s="166"/>
      <c r="S17" s="66"/>
    </row>
    <row r="18" spans="1:19" x14ac:dyDescent="0.3">
      <c r="A18" s="170"/>
      <c r="B18" s="148"/>
      <c r="C18" s="245" t="s">
        <v>161</v>
      </c>
      <c r="D18" s="174">
        <v>0.1</v>
      </c>
      <c r="E18" s="20" t="s">
        <v>85</v>
      </c>
      <c r="F18" s="95" t="str">
        <f>LOOKUP(G18,RANGOS!$A$2:$B$6)</f>
        <v xml:space="preserve">Muy baja </v>
      </c>
      <c r="G18" s="49">
        <v>1</v>
      </c>
      <c r="H18" s="95" t="str">
        <f>LOOKUP(I18,RANGOS!$A$9:$B$13)</f>
        <v xml:space="preserve">Bajo </v>
      </c>
      <c r="I18" s="55">
        <f>'Data servicios'!G20</f>
        <v>2</v>
      </c>
      <c r="J18" s="95" t="str">
        <f>LOOKUP(K18,RANGOS!$F$2:$G$26)</f>
        <v>BAJO</v>
      </c>
      <c r="K18" s="95">
        <f t="shared" si="0"/>
        <v>2</v>
      </c>
      <c r="L18" s="168">
        <f>$B$4*$D$18*AVERAGE(K18:K19)</f>
        <v>0.14000000000000001</v>
      </c>
      <c r="M18" s="264"/>
      <c r="N18" s="190" t="str">
        <f>LOOKUP(O18,RANGOS!$A$16:$B$20)</f>
        <v>Alto</v>
      </c>
      <c r="O18" s="190">
        <v>4</v>
      </c>
      <c r="P18" s="95" t="str">
        <f>LOOKUP(Q18,RANGOS!$F$2:$G$26)</f>
        <v xml:space="preserve">MUY BAJO </v>
      </c>
      <c r="Q18" s="95">
        <f>K18/$O$18</f>
        <v>0.5</v>
      </c>
      <c r="R18" s="168">
        <f>$B$4*$D$18*AVERAGE(Q18:Q19)</f>
        <v>3.5000000000000003E-2</v>
      </c>
      <c r="S18" s="66"/>
    </row>
    <row r="19" spans="1:19" x14ac:dyDescent="0.3">
      <c r="A19" s="170"/>
      <c r="B19" s="148"/>
      <c r="C19" s="247"/>
      <c r="D19" s="176"/>
      <c r="E19" s="29" t="s">
        <v>86</v>
      </c>
      <c r="F19" s="96" t="str">
        <f>LOOKUP(G19,RANGOS!$A$2:$B$6)</f>
        <v xml:space="preserve">Muy baja </v>
      </c>
      <c r="G19" s="48">
        <v>1</v>
      </c>
      <c r="H19" s="96" t="str">
        <f>LOOKUP(I19,RANGOS!$A$9:$B$13)</f>
        <v xml:space="preserve">Muy alto </v>
      </c>
      <c r="I19" s="56">
        <f>'Data servicios'!G21</f>
        <v>5</v>
      </c>
      <c r="J19" s="96" t="str">
        <f>LOOKUP(K19,RANGOS!$F$2:$G$26)</f>
        <v>BAJO</v>
      </c>
      <c r="K19" s="96">
        <f t="shared" si="0"/>
        <v>5</v>
      </c>
      <c r="L19" s="167"/>
      <c r="M19" s="265"/>
      <c r="N19" s="191"/>
      <c r="O19" s="191"/>
      <c r="P19" s="96" t="str">
        <f>LOOKUP(Q19,RANGOS!$F$2:$G$26)</f>
        <v xml:space="preserve">MUY BAJO </v>
      </c>
      <c r="Q19" s="96">
        <f>K19/$O$18</f>
        <v>1.25</v>
      </c>
      <c r="R19" s="167"/>
      <c r="S19" s="66"/>
    </row>
    <row r="20" spans="1:19" x14ac:dyDescent="0.3">
      <c r="A20" s="170"/>
      <c r="B20" s="148"/>
      <c r="C20" s="246" t="s">
        <v>172</v>
      </c>
      <c r="D20" s="188">
        <v>0.1</v>
      </c>
      <c r="E20" s="3" t="s">
        <v>53</v>
      </c>
      <c r="F20" s="95" t="str">
        <f>LOOKUP(G20,RANGOS!$A$2:$B$6)</f>
        <v xml:space="preserve">Muy baja </v>
      </c>
      <c r="G20" s="49">
        <v>1</v>
      </c>
      <c r="H20" s="95" t="str">
        <f>LOOKUP(I20,RANGOS!$A$9:$B$13)</f>
        <v xml:space="preserve">Muy bajo </v>
      </c>
      <c r="I20" s="51">
        <f>'Data servicios'!G22</f>
        <v>1</v>
      </c>
      <c r="J20" s="95" t="str">
        <f>LOOKUP(K20,RANGOS!$F$2:$G$26)</f>
        <v xml:space="preserve">MUY BAJO </v>
      </c>
      <c r="K20" s="95">
        <f t="shared" ref="K20:K21" si="3">G20*I20</f>
        <v>1</v>
      </c>
      <c r="L20" s="165">
        <f>$B$4*$D$20*AVERAGE(K20:K23)</f>
        <v>9.0000000000000024E-2</v>
      </c>
      <c r="M20" s="190"/>
      <c r="N20" s="190" t="str">
        <f>LOOKUP(O20,RANGOS!$A$16:$B$20)</f>
        <v>Alto</v>
      </c>
      <c r="O20" s="190">
        <v>4</v>
      </c>
      <c r="P20" s="95" t="str">
        <f>LOOKUP(Q20,RANGOS!$F$2:$G$26)</f>
        <v xml:space="preserve">MUY BAJO </v>
      </c>
      <c r="Q20" s="95">
        <f>K20/$O$20</f>
        <v>0.25</v>
      </c>
      <c r="R20" s="165">
        <f>$B$4*$D$20*AVERAGE(Q20:Q23)</f>
        <v>2.2500000000000006E-2</v>
      </c>
      <c r="S20" s="66"/>
    </row>
    <row r="21" spans="1:19" x14ac:dyDescent="0.3">
      <c r="A21" s="170"/>
      <c r="B21" s="148"/>
      <c r="C21" s="246"/>
      <c r="D21" s="148"/>
      <c r="E21" s="3" t="s">
        <v>54</v>
      </c>
      <c r="F21" s="27" t="str">
        <f>LOOKUP(G21,RANGOS!$A$2:$B$6)</f>
        <v xml:space="preserve">Muy baja </v>
      </c>
      <c r="G21" s="47">
        <v>1</v>
      </c>
      <c r="H21" s="27" t="str">
        <f>LOOKUP(I21,RANGOS!$A$9:$B$13)</f>
        <v xml:space="preserve">Bajo </v>
      </c>
      <c r="I21" s="51">
        <f>'Data servicios'!G23</f>
        <v>2</v>
      </c>
      <c r="J21" s="27" t="str">
        <f>LOOKUP(K21,RANGOS!$F$2:$G$26)</f>
        <v>BAJO</v>
      </c>
      <c r="K21" s="27">
        <f t="shared" si="3"/>
        <v>2</v>
      </c>
      <c r="L21" s="163"/>
      <c r="M21" s="149"/>
      <c r="N21" s="149"/>
      <c r="O21" s="149"/>
      <c r="P21" s="27" t="str">
        <f>LOOKUP(Q21,RANGOS!$F$2:$G$26)</f>
        <v xml:space="preserve">MUY BAJO </v>
      </c>
      <c r="Q21" s="27">
        <f>K21/$O$20</f>
        <v>0.5</v>
      </c>
      <c r="R21" s="163"/>
      <c r="S21" s="66"/>
    </row>
    <row r="22" spans="1:19" x14ac:dyDescent="0.3">
      <c r="A22" s="170"/>
      <c r="B22" s="148"/>
      <c r="C22" s="246"/>
      <c r="D22" s="148"/>
      <c r="E22" s="3" t="s">
        <v>196</v>
      </c>
      <c r="F22" s="27" t="str">
        <f>LOOKUP(G22,RANGOS!$A$2:$B$6)</f>
        <v xml:space="preserve">Muy baja </v>
      </c>
      <c r="G22" s="47">
        <v>1</v>
      </c>
      <c r="H22" s="27" t="str">
        <f>LOOKUP(I22,RANGOS!$A$9:$B$13)</f>
        <v xml:space="preserve">Muy alto </v>
      </c>
      <c r="I22" s="51">
        <f>'Data servicios'!G24</f>
        <v>5</v>
      </c>
      <c r="J22" s="27" t="str">
        <f>LOOKUP(K22,RANGOS!$F$2:$G$26)</f>
        <v>BAJO</v>
      </c>
      <c r="K22" s="27">
        <f t="shared" ref="K22:K23" si="4">G22*I22</f>
        <v>5</v>
      </c>
      <c r="L22" s="163"/>
      <c r="M22" s="149"/>
      <c r="N22" s="149"/>
      <c r="O22" s="149"/>
      <c r="P22" s="27" t="str">
        <f>LOOKUP(Q22,RANGOS!$F$2:$G$26)</f>
        <v xml:space="preserve">MUY BAJO </v>
      </c>
      <c r="Q22" s="27">
        <f>K22/$O$20</f>
        <v>1.25</v>
      </c>
      <c r="R22" s="163"/>
      <c r="S22" s="66"/>
    </row>
    <row r="23" spans="1:19" ht="15" thickBot="1" x14ac:dyDescent="0.35">
      <c r="A23" s="220"/>
      <c r="B23" s="217"/>
      <c r="C23" s="253"/>
      <c r="D23" s="217"/>
      <c r="E23" s="75" t="s">
        <v>195</v>
      </c>
      <c r="F23" s="76" t="str">
        <f>LOOKUP(G23,RANGOS!$A$2:$B$6)</f>
        <v xml:space="preserve">Muy baja </v>
      </c>
      <c r="G23" s="77">
        <v>1</v>
      </c>
      <c r="H23" s="76" t="str">
        <f>LOOKUP(I23,RANGOS!$A$9:$B$13)</f>
        <v xml:space="preserve">Muy bajo </v>
      </c>
      <c r="I23" s="78">
        <f>'Data servicios'!G25</f>
        <v>1</v>
      </c>
      <c r="J23" s="76" t="str">
        <f>LOOKUP(K23,RANGOS!$F$2:$G$26)</f>
        <v xml:space="preserve">MUY BAJO </v>
      </c>
      <c r="K23" s="76">
        <f t="shared" si="4"/>
        <v>1</v>
      </c>
      <c r="L23" s="234"/>
      <c r="M23" s="150"/>
      <c r="N23" s="150"/>
      <c r="O23" s="150"/>
      <c r="P23" s="76" t="str">
        <f>LOOKUP(Q23,RANGOS!$F$2:$G$26)</f>
        <v xml:space="preserve">MUY BAJO </v>
      </c>
      <c r="Q23" s="76">
        <f>K23/$O$20</f>
        <v>0.25</v>
      </c>
      <c r="R23" s="234"/>
      <c r="S23" s="66"/>
    </row>
    <row r="24" spans="1:19" x14ac:dyDescent="0.3">
      <c r="A24" s="251" t="s">
        <v>169</v>
      </c>
      <c r="B24" s="252">
        <v>0.5</v>
      </c>
      <c r="C24" s="254" t="s">
        <v>167</v>
      </c>
      <c r="D24" s="244">
        <v>0.2</v>
      </c>
      <c r="E24" s="80" t="s">
        <v>92</v>
      </c>
      <c r="F24" s="81" t="str">
        <f>LOOKUP(G24,RANGOS!$A$2:$B$6)</f>
        <v xml:space="preserve">Muy baja </v>
      </c>
      <c r="G24" s="82">
        <v>1</v>
      </c>
      <c r="H24" s="81" t="str">
        <f>LOOKUP(I24,RANGOS!$A$9:$B$13)</f>
        <v xml:space="preserve">Muy alto </v>
      </c>
      <c r="I24" s="83">
        <f>'Data servicios'!G26</f>
        <v>5</v>
      </c>
      <c r="J24" s="81" t="str">
        <f>LOOKUP(K24,RANGOS!$F$2:$G$26)</f>
        <v>BAJO</v>
      </c>
      <c r="K24" s="81">
        <f t="shared" ref="K24:K34" si="5">G24*I24</f>
        <v>5</v>
      </c>
      <c r="L24" s="259">
        <f>$B$24*$D$24*AVERAGE(K24:K26)</f>
        <v>0.30000000000000004</v>
      </c>
      <c r="M24" s="262"/>
      <c r="N24" s="256" t="str">
        <f>LOOKUP(O24,RANGOS!$A$16:$B$20)</f>
        <v xml:space="preserve">Muy bajo </v>
      </c>
      <c r="O24" s="256">
        <v>1</v>
      </c>
      <c r="P24" s="81" t="str">
        <f>LOOKUP(Q24,RANGOS!$F$2:$G$26)</f>
        <v>BAJO</v>
      </c>
      <c r="Q24" s="81">
        <f>K24/$O$24</f>
        <v>5</v>
      </c>
      <c r="R24" s="259">
        <f>$B$24*$D$24*AVERAGE(Q24:Q26)</f>
        <v>0.30000000000000004</v>
      </c>
      <c r="S24" s="66"/>
    </row>
    <row r="25" spans="1:19" x14ac:dyDescent="0.3">
      <c r="A25" s="215"/>
      <c r="B25" s="148"/>
      <c r="C25" s="246"/>
      <c r="D25" s="175"/>
      <c r="E25" s="3" t="s">
        <v>12</v>
      </c>
      <c r="F25" s="27" t="str">
        <f>LOOKUP(G25,RANGOS!$A$2:$B$6)</f>
        <v xml:space="preserve">Muy baja </v>
      </c>
      <c r="G25" s="47">
        <v>1</v>
      </c>
      <c r="H25" s="27" t="str">
        <f>LOOKUP(I25,RANGOS!$A$9:$B$13)</f>
        <v xml:space="preserve">Bajo </v>
      </c>
      <c r="I25" s="51">
        <f>'Data servicios'!G27</f>
        <v>2</v>
      </c>
      <c r="J25" s="27" t="str">
        <f>LOOKUP(K25,RANGOS!$F$2:$G$26)</f>
        <v>BAJO</v>
      </c>
      <c r="K25" s="27">
        <f t="shared" si="5"/>
        <v>2</v>
      </c>
      <c r="L25" s="166"/>
      <c r="M25" s="263"/>
      <c r="N25" s="149"/>
      <c r="O25" s="149"/>
      <c r="P25" s="27" t="str">
        <f>LOOKUP(Q25,RANGOS!$F$2:$G$26)</f>
        <v>BAJO</v>
      </c>
      <c r="Q25" s="27">
        <f>K25/$O$24</f>
        <v>2</v>
      </c>
      <c r="R25" s="166"/>
      <c r="S25" s="66"/>
    </row>
    <row r="26" spans="1:19" x14ac:dyDescent="0.3">
      <c r="A26" s="215"/>
      <c r="B26" s="148"/>
      <c r="C26" s="247"/>
      <c r="D26" s="176"/>
      <c r="E26" s="29" t="s">
        <v>93</v>
      </c>
      <c r="F26" s="96" t="str">
        <f>LOOKUP(G26,RANGOS!$A$2:$B$6)</f>
        <v xml:space="preserve">Muy baja </v>
      </c>
      <c r="G26" s="48">
        <v>1</v>
      </c>
      <c r="H26" s="96" t="str">
        <f>LOOKUP(I26,RANGOS!$A$9:$B$13)</f>
        <v xml:space="preserve">Bajo </v>
      </c>
      <c r="I26" s="56">
        <f>'Data servicios'!G28</f>
        <v>2</v>
      </c>
      <c r="J26" s="96" t="str">
        <f>LOOKUP(K26,RANGOS!$F$2:$G$26)</f>
        <v>BAJO</v>
      </c>
      <c r="K26" s="96">
        <f t="shared" si="5"/>
        <v>2</v>
      </c>
      <c r="L26" s="167"/>
      <c r="M26" s="265"/>
      <c r="N26" s="191"/>
      <c r="O26" s="191"/>
      <c r="P26" s="96" t="str">
        <f>LOOKUP(Q26,RANGOS!$F$2:$G$26)</f>
        <v>BAJO</v>
      </c>
      <c r="Q26" s="96">
        <f>K26/$O$24</f>
        <v>2</v>
      </c>
      <c r="R26" s="167"/>
      <c r="S26" s="66"/>
    </row>
    <row r="27" spans="1:19" x14ac:dyDescent="0.3">
      <c r="A27" s="215"/>
      <c r="B27" s="148"/>
      <c r="C27" s="245" t="s">
        <v>168</v>
      </c>
      <c r="D27" s="175">
        <v>0.2</v>
      </c>
      <c r="E27" s="20" t="s">
        <v>11</v>
      </c>
      <c r="F27" s="27" t="s">
        <v>14</v>
      </c>
      <c r="G27" s="47">
        <v>1</v>
      </c>
      <c r="H27" s="27" t="str">
        <f>LOOKUP(I27,RANGOS!$A$9:$B$13)</f>
        <v xml:space="preserve">Bajo </v>
      </c>
      <c r="I27" s="51">
        <f>'Data servicios'!G29</f>
        <v>2</v>
      </c>
      <c r="J27" s="27" t="str">
        <f>LOOKUP(K27,RANGOS!$F$2:$G$26)</f>
        <v>BAJO</v>
      </c>
      <c r="K27" s="27">
        <f t="shared" si="5"/>
        <v>2</v>
      </c>
      <c r="L27" s="166">
        <f>$B$24*$D$27*AVERAGE(K27:K29)</f>
        <v>0.30000000000000004</v>
      </c>
      <c r="M27" s="263"/>
      <c r="N27" s="149" t="str">
        <f>LOOKUP(O27,RANGOS!$A$16:$B$20)</f>
        <v xml:space="preserve">Muy bajo </v>
      </c>
      <c r="O27" s="149">
        <v>1</v>
      </c>
      <c r="P27" s="27" t="str">
        <f>LOOKUP(Q27,RANGOS!$F$2:$G$26)</f>
        <v>BAJO</v>
      </c>
      <c r="Q27" s="95">
        <f>K27/$O$27</f>
        <v>2</v>
      </c>
      <c r="R27" s="166">
        <f>$B$24*$D$27*AVERAGE(Q27:Q29)</f>
        <v>0.30000000000000004</v>
      </c>
      <c r="S27" s="66"/>
    </row>
    <row r="28" spans="1:19" x14ac:dyDescent="0.3">
      <c r="A28" s="215"/>
      <c r="B28" s="148"/>
      <c r="C28" s="246"/>
      <c r="D28" s="175"/>
      <c r="E28" s="3" t="s">
        <v>12</v>
      </c>
      <c r="F28" s="27" t="str">
        <f>LOOKUP(G28,RANGOS!$A$2:$B$6)</f>
        <v xml:space="preserve">Muy baja </v>
      </c>
      <c r="G28" s="47">
        <v>1</v>
      </c>
      <c r="H28" s="27" t="str">
        <f>LOOKUP(I28,RANGOS!$A$9:$B$13)</f>
        <v xml:space="preserve">Muy alto </v>
      </c>
      <c r="I28" s="51">
        <f>'Data servicios'!G30</f>
        <v>5</v>
      </c>
      <c r="J28" s="27" t="str">
        <f>LOOKUP(K28,RANGOS!$F$2:$G$26)</f>
        <v>BAJO</v>
      </c>
      <c r="K28" s="27">
        <f t="shared" si="5"/>
        <v>5</v>
      </c>
      <c r="L28" s="166"/>
      <c r="M28" s="263"/>
      <c r="N28" s="149"/>
      <c r="O28" s="149"/>
      <c r="P28" s="27" t="str">
        <f>LOOKUP(Q28,RANGOS!$F$2:$G$26)</f>
        <v>BAJO</v>
      </c>
      <c r="Q28" s="27">
        <f>K28/$O$27</f>
        <v>5</v>
      </c>
      <c r="R28" s="166"/>
      <c r="S28" s="66"/>
    </row>
    <row r="29" spans="1:19" x14ac:dyDescent="0.3">
      <c r="A29" s="215"/>
      <c r="B29" s="148"/>
      <c r="C29" s="247"/>
      <c r="D29" s="175"/>
      <c r="E29" s="29" t="s">
        <v>93</v>
      </c>
      <c r="F29" s="27" t="str">
        <f>LOOKUP(G29,RANGOS!$A$2:$B$6)</f>
        <v xml:space="preserve">Muy baja </v>
      </c>
      <c r="G29" s="47">
        <v>1</v>
      </c>
      <c r="H29" s="27" t="str">
        <f>LOOKUP(I29,RANGOS!$A$9:$B$13)</f>
        <v xml:space="preserve">Bajo </v>
      </c>
      <c r="I29" s="51">
        <f>'Data servicios'!G31</f>
        <v>2</v>
      </c>
      <c r="J29" s="27" t="str">
        <f>LOOKUP(K29,RANGOS!$F$2:$G$26)</f>
        <v>BAJO</v>
      </c>
      <c r="K29" s="27">
        <f t="shared" si="5"/>
        <v>2</v>
      </c>
      <c r="L29" s="166"/>
      <c r="M29" s="263"/>
      <c r="N29" s="149"/>
      <c r="O29" s="149"/>
      <c r="P29" s="27" t="str">
        <f>LOOKUP(Q29,RANGOS!$F$2:$G$26)</f>
        <v>BAJO</v>
      </c>
      <c r="Q29" s="96">
        <f>K29/$O$27</f>
        <v>2</v>
      </c>
      <c r="R29" s="166"/>
      <c r="S29" s="66"/>
    </row>
    <row r="30" spans="1:19" x14ac:dyDescent="0.3">
      <c r="A30" s="215"/>
      <c r="B30" s="148"/>
      <c r="C30" s="245" t="s">
        <v>56</v>
      </c>
      <c r="D30" s="174">
        <v>0.1</v>
      </c>
      <c r="E30" s="20" t="s">
        <v>94</v>
      </c>
      <c r="F30" s="95" t="str">
        <f>LOOKUP(G30,RANGOS!$A$2:$B$6)</f>
        <v xml:space="preserve">Muy baja </v>
      </c>
      <c r="G30" s="49">
        <v>1</v>
      </c>
      <c r="H30" s="95" t="str">
        <f>LOOKUP(I30,RANGOS!$A$9:$B$13)</f>
        <v xml:space="preserve">Muy alto </v>
      </c>
      <c r="I30" s="55">
        <f>'Data servicios'!G32</f>
        <v>5</v>
      </c>
      <c r="J30" s="95" t="str">
        <f>LOOKUP(K30,RANGOS!$F$2:$G$26)</f>
        <v>BAJO</v>
      </c>
      <c r="K30" s="95">
        <f t="shared" si="5"/>
        <v>5</v>
      </c>
      <c r="L30" s="168">
        <f>$B$24*$D$30*AVERAGE(K30:K31)</f>
        <v>0.15000000000000002</v>
      </c>
      <c r="M30" s="264"/>
      <c r="N30" s="190" t="str">
        <f>LOOKUP(O30,RANGOS!$A$16:$B$20)</f>
        <v xml:space="preserve">Muy bajo </v>
      </c>
      <c r="O30" s="190">
        <v>1</v>
      </c>
      <c r="P30" s="95" t="str">
        <f>LOOKUP(Q30,RANGOS!$F$2:$G$26)</f>
        <v>BAJO</v>
      </c>
      <c r="Q30" s="95">
        <f>K30/$O$30</f>
        <v>5</v>
      </c>
      <c r="R30" s="168">
        <f>$B$24*$D$30*AVERAGE(Q30:Q31)</f>
        <v>0.15000000000000002</v>
      </c>
      <c r="S30" s="66"/>
    </row>
    <row r="31" spans="1:19" ht="15" customHeight="1" x14ac:dyDescent="0.3">
      <c r="A31" s="215"/>
      <c r="B31" s="148"/>
      <c r="C31" s="247"/>
      <c r="D31" s="176"/>
      <c r="E31" s="29" t="s">
        <v>95</v>
      </c>
      <c r="F31" s="96" t="str">
        <f>LOOKUP(G31,RANGOS!$A$2:$B$6)</f>
        <v xml:space="preserve">Muy baja </v>
      </c>
      <c r="G31" s="48">
        <v>1</v>
      </c>
      <c r="H31" s="96" t="str">
        <f>LOOKUP(I31,RANGOS!$A$9:$B$13)</f>
        <v xml:space="preserve">Muy bajo </v>
      </c>
      <c r="I31" s="56">
        <f>'Data servicios'!G33</f>
        <v>1</v>
      </c>
      <c r="J31" s="96" t="str">
        <f>LOOKUP(K31,RANGOS!$F$2:$G$26)</f>
        <v xml:space="preserve">MUY BAJO </v>
      </c>
      <c r="K31" s="96">
        <f t="shared" si="5"/>
        <v>1</v>
      </c>
      <c r="L31" s="167"/>
      <c r="M31" s="265"/>
      <c r="N31" s="191"/>
      <c r="O31" s="191"/>
      <c r="P31" s="96" t="str">
        <f>LOOKUP(Q31,RANGOS!$F$2:$G$26)</f>
        <v xml:space="preserve">MUY BAJO </v>
      </c>
      <c r="Q31" s="96">
        <f>K31/$O$30</f>
        <v>1</v>
      </c>
      <c r="R31" s="167"/>
      <c r="S31" s="66"/>
    </row>
    <row r="32" spans="1:19" ht="15" customHeight="1" x14ac:dyDescent="0.3">
      <c r="A32" s="215"/>
      <c r="B32" s="148"/>
      <c r="C32" s="248" t="s">
        <v>135</v>
      </c>
      <c r="D32" s="175">
        <v>0.15</v>
      </c>
      <c r="E32" s="41" t="s">
        <v>141</v>
      </c>
      <c r="F32" s="27" t="str">
        <f>LOOKUP(G32,RANGOS!$A$2:$B$6)</f>
        <v xml:space="preserve">Muy baja </v>
      </c>
      <c r="G32" s="47">
        <v>1</v>
      </c>
      <c r="H32" s="27" t="str">
        <f>LOOKUP(I32,RANGOS!$A$9:$B$13)</f>
        <v xml:space="preserve">Muy alto </v>
      </c>
      <c r="I32" s="51">
        <f>'Data servicios'!G34</f>
        <v>5</v>
      </c>
      <c r="J32" s="27" t="str">
        <f>LOOKUP(K32,RANGOS!$F$2:$G$26)</f>
        <v>BAJO</v>
      </c>
      <c r="K32" s="27">
        <f t="shared" si="5"/>
        <v>5</v>
      </c>
      <c r="L32" s="166">
        <f>$B$24*$D$32*AVERAGE(K32:K34)</f>
        <v>0.19999999999999998</v>
      </c>
      <c r="M32" s="263"/>
      <c r="N32" s="149" t="str">
        <f>LOOKUP(O32,RANGOS!$A$16:$B$20)</f>
        <v xml:space="preserve">Muy bajo </v>
      </c>
      <c r="O32" s="146">
        <v>1</v>
      </c>
      <c r="P32" s="27" t="str">
        <f>LOOKUP(Q32,RANGOS!$F$2:$G$26)</f>
        <v>BAJO</v>
      </c>
      <c r="Q32" s="95">
        <f>K32/$O$32</f>
        <v>5</v>
      </c>
      <c r="R32" s="166">
        <f>$B$24*$D$32*AVERAGE(Q32:Q34)</f>
        <v>0.19999999999999998</v>
      </c>
      <c r="S32" s="66"/>
    </row>
    <row r="33" spans="1:19" x14ac:dyDescent="0.3">
      <c r="A33" s="215"/>
      <c r="B33" s="148"/>
      <c r="C33" s="249"/>
      <c r="D33" s="175"/>
      <c r="E33" s="42" t="s">
        <v>142</v>
      </c>
      <c r="F33" s="27" t="str">
        <f>LOOKUP(G33,RANGOS!$A$2:$B$6)</f>
        <v xml:space="preserve">Muy baja </v>
      </c>
      <c r="G33" s="47">
        <v>1</v>
      </c>
      <c r="H33" s="27" t="str">
        <f>LOOKUP(I33,RANGOS!$A$9:$B$13)</f>
        <v xml:space="preserve">Muy bajo </v>
      </c>
      <c r="I33" s="51">
        <f>'Data servicios'!G35</f>
        <v>1</v>
      </c>
      <c r="J33" s="27" t="str">
        <f>LOOKUP(K33,RANGOS!$F$2:$G$26)</f>
        <v xml:space="preserve">MUY BAJO </v>
      </c>
      <c r="K33" s="27">
        <f t="shared" si="5"/>
        <v>1</v>
      </c>
      <c r="L33" s="166"/>
      <c r="M33" s="263"/>
      <c r="N33" s="149"/>
      <c r="O33" s="146"/>
      <c r="P33" s="27" t="str">
        <f>LOOKUP(Q33,RANGOS!$F$2:$G$26)</f>
        <v xml:space="preserve">MUY BAJO </v>
      </c>
      <c r="Q33" s="27">
        <f>K33/$O$32</f>
        <v>1</v>
      </c>
      <c r="R33" s="166"/>
      <c r="S33" s="66"/>
    </row>
    <row r="34" spans="1:19" x14ac:dyDescent="0.3">
      <c r="A34" s="215"/>
      <c r="B34" s="148"/>
      <c r="C34" s="250"/>
      <c r="D34" s="175"/>
      <c r="E34" s="29" t="s">
        <v>143</v>
      </c>
      <c r="F34" s="27" t="str">
        <f>LOOKUP(G34,RANGOS!$A$2:$B$6)</f>
        <v xml:space="preserve">Muy baja </v>
      </c>
      <c r="G34" s="47">
        <v>1</v>
      </c>
      <c r="H34" s="27" t="str">
        <f>LOOKUP(I34,RANGOS!$A$9:$B$13)</f>
        <v xml:space="preserve">Bajo </v>
      </c>
      <c r="I34" s="56">
        <f>'Data servicios'!G36</f>
        <v>2</v>
      </c>
      <c r="J34" s="27" t="str">
        <f>LOOKUP(K34,RANGOS!$F$2:$G$26)</f>
        <v>BAJO</v>
      </c>
      <c r="K34" s="27">
        <f t="shared" si="5"/>
        <v>2</v>
      </c>
      <c r="L34" s="166"/>
      <c r="M34" s="263"/>
      <c r="N34" s="149"/>
      <c r="O34" s="146"/>
      <c r="P34" s="27" t="str">
        <f>LOOKUP(Q34,RANGOS!$F$2:$G$26)</f>
        <v>BAJO</v>
      </c>
      <c r="Q34" s="96">
        <f>K34/$O$32</f>
        <v>2</v>
      </c>
      <c r="R34" s="166"/>
      <c r="S34" s="66"/>
    </row>
    <row r="35" spans="1:19" ht="15" customHeight="1" x14ac:dyDescent="0.3">
      <c r="A35" s="215"/>
      <c r="B35" s="148"/>
      <c r="C35" s="248" t="s">
        <v>136</v>
      </c>
      <c r="D35" s="174">
        <v>0.15</v>
      </c>
      <c r="E35" s="41" t="s">
        <v>141</v>
      </c>
      <c r="F35" s="95" t="str">
        <f>LOOKUP(G35,RANGOS!$A$2:$B$6)</f>
        <v xml:space="preserve">Muy baja </v>
      </c>
      <c r="G35" s="49">
        <v>1</v>
      </c>
      <c r="H35" s="95" t="str">
        <f>LOOKUP(I35,RANGOS!$A$9:$B$13)</f>
        <v>Medio</v>
      </c>
      <c r="I35" s="51">
        <f>'Data servicios'!G37</f>
        <v>3</v>
      </c>
      <c r="J35" s="95" t="str">
        <f>LOOKUP(K35,RANGOS!$F$2:$G$26)</f>
        <v>BAJO</v>
      </c>
      <c r="K35" s="95">
        <f t="shared" ref="K35:K37" si="6">G35*I35</f>
        <v>3</v>
      </c>
      <c r="L35" s="168">
        <f>$B$24*$D$35*AVERAGE(K35:K37)</f>
        <v>0.22499999999999998</v>
      </c>
      <c r="M35" s="264"/>
      <c r="N35" s="190" t="str">
        <f>LOOKUP(O35,RANGOS!$A$16:$B$20)</f>
        <v xml:space="preserve">Muy bajo </v>
      </c>
      <c r="O35" s="157">
        <v>1</v>
      </c>
      <c r="P35" s="95" t="str">
        <f>LOOKUP(Q35,RANGOS!$F$2:$G$26)</f>
        <v>BAJO</v>
      </c>
      <c r="Q35" s="95">
        <f>K35/$O$35</f>
        <v>3</v>
      </c>
      <c r="R35" s="168">
        <f>$B$24*$D$35*AVERAGE(Q35:Q37)</f>
        <v>0.22499999999999998</v>
      </c>
      <c r="S35" s="66"/>
    </row>
    <row r="36" spans="1:19" x14ac:dyDescent="0.3">
      <c r="A36" s="215"/>
      <c r="B36" s="148"/>
      <c r="C36" s="249"/>
      <c r="D36" s="175"/>
      <c r="E36" s="42" t="s">
        <v>142</v>
      </c>
      <c r="F36" s="27" t="str">
        <f>LOOKUP(G36,RANGOS!$A$2:$B$6)</f>
        <v xml:space="preserve">Muy baja </v>
      </c>
      <c r="G36" s="47">
        <v>1</v>
      </c>
      <c r="H36" s="27" t="str">
        <f>LOOKUP(I36,RANGOS!$A$9:$B$13)</f>
        <v>Medio</v>
      </c>
      <c r="I36" s="51">
        <f>'Data servicios'!G38</f>
        <v>3</v>
      </c>
      <c r="J36" s="27" t="str">
        <f>LOOKUP(K36,RANGOS!$F$2:$G$26)</f>
        <v>BAJO</v>
      </c>
      <c r="K36" s="27">
        <f t="shared" si="6"/>
        <v>3</v>
      </c>
      <c r="L36" s="166"/>
      <c r="M36" s="263"/>
      <c r="N36" s="149"/>
      <c r="O36" s="146"/>
      <c r="P36" s="27" t="str">
        <f>LOOKUP(Q36,RANGOS!$F$2:$G$26)</f>
        <v>BAJO</v>
      </c>
      <c r="Q36" s="27">
        <f>K36/$O$35</f>
        <v>3</v>
      </c>
      <c r="R36" s="166"/>
      <c r="S36" s="66"/>
    </row>
    <row r="37" spans="1:19" x14ac:dyDescent="0.3">
      <c r="A37" s="215"/>
      <c r="B37" s="148"/>
      <c r="C37" s="250"/>
      <c r="D37" s="176"/>
      <c r="E37" s="29" t="s">
        <v>143</v>
      </c>
      <c r="F37" s="96" t="str">
        <f>LOOKUP(G37,RANGOS!$A$2:$B$6)</f>
        <v xml:space="preserve">Muy baja </v>
      </c>
      <c r="G37" s="48">
        <v>1</v>
      </c>
      <c r="H37" s="96" t="str">
        <f>LOOKUP(I37,RANGOS!$A$9:$B$13)</f>
        <v>Medio</v>
      </c>
      <c r="I37" s="56">
        <f>'Data servicios'!G39</f>
        <v>3</v>
      </c>
      <c r="J37" s="96" t="str">
        <f>LOOKUP(K37,RANGOS!$F$2:$G$26)</f>
        <v>BAJO</v>
      </c>
      <c r="K37" s="96">
        <f t="shared" si="6"/>
        <v>3</v>
      </c>
      <c r="L37" s="167"/>
      <c r="M37" s="265"/>
      <c r="N37" s="191"/>
      <c r="O37" s="158"/>
      <c r="P37" s="96" t="str">
        <f>LOOKUP(Q37,RANGOS!$F$2:$G$26)</f>
        <v>BAJO</v>
      </c>
      <c r="Q37" s="96">
        <f>K37/$O$35</f>
        <v>3</v>
      </c>
      <c r="R37" s="167"/>
      <c r="S37" s="66"/>
    </row>
    <row r="38" spans="1:19" x14ac:dyDescent="0.3">
      <c r="A38" s="215"/>
      <c r="B38" s="148"/>
      <c r="C38" s="246" t="s">
        <v>137</v>
      </c>
      <c r="D38" s="175">
        <v>0.05</v>
      </c>
      <c r="E38" s="3" t="s">
        <v>85</v>
      </c>
      <c r="F38" s="27" t="s">
        <v>24</v>
      </c>
      <c r="G38" s="47">
        <v>1</v>
      </c>
      <c r="H38" s="27" t="str">
        <f>LOOKUP(I38,RANGOS!$A$9:$B$13)</f>
        <v xml:space="preserve">Bajo </v>
      </c>
      <c r="I38" s="51">
        <f>'Data servicios'!G40</f>
        <v>2</v>
      </c>
      <c r="J38" s="27" t="str">
        <f>LOOKUP(K38,RANGOS!$F$2:$G$26)</f>
        <v>BAJO</v>
      </c>
      <c r="K38" s="27">
        <f t="shared" ref="K38:K46" si="7">G38*I38</f>
        <v>2</v>
      </c>
      <c r="L38" s="166">
        <f>$B$24*$D$38*AVERAGE(K38:K39)</f>
        <v>8.7500000000000008E-2</v>
      </c>
      <c r="M38" s="263"/>
      <c r="N38" s="149" t="str">
        <f>LOOKUP(O38,RANGOS!$A$16:$B$20)</f>
        <v xml:space="preserve">Muy bajo </v>
      </c>
      <c r="O38" s="149">
        <v>1</v>
      </c>
      <c r="P38" s="27" t="str">
        <f>LOOKUP(Q38,RANGOS!$F$2:$G$26)</f>
        <v>BAJO</v>
      </c>
      <c r="Q38" s="95">
        <f>K38/$O$38</f>
        <v>2</v>
      </c>
      <c r="R38" s="166">
        <f>$B$24*$D$38*AVERAGE(Q38:Q39)</f>
        <v>8.7500000000000008E-2</v>
      </c>
      <c r="S38" s="66"/>
    </row>
    <row r="39" spans="1:19" x14ac:dyDescent="0.3">
      <c r="A39" s="215"/>
      <c r="B39" s="148"/>
      <c r="C39" s="246"/>
      <c r="D39" s="175"/>
      <c r="E39" s="29" t="s">
        <v>86</v>
      </c>
      <c r="F39" s="27" t="str">
        <f>LOOKUP(G39,RANGOS!$A$2:$B$6)</f>
        <v xml:space="preserve">Muy baja </v>
      </c>
      <c r="G39" s="47">
        <v>1</v>
      </c>
      <c r="H39" s="27" t="str">
        <f>LOOKUP(I39,RANGOS!$A$9:$B$13)</f>
        <v xml:space="preserve">Muy alto </v>
      </c>
      <c r="I39" s="51">
        <f>'Data servicios'!G41</f>
        <v>5</v>
      </c>
      <c r="J39" s="27" t="str">
        <f>LOOKUP(K39,RANGOS!$F$2:$G$26)</f>
        <v>BAJO</v>
      </c>
      <c r="K39" s="27">
        <f t="shared" si="7"/>
        <v>5</v>
      </c>
      <c r="L39" s="166"/>
      <c r="M39" s="263"/>
      <c r="N39" s="149"/>
      <c r="O39" s="149"/>
      <c r="P39" s="27" t="str">
        <f>LOOKUP(Q39,RANGOS!$F$2:$G$26)</f>
        <v>BAJO</v>
      </c>
      <c r="Q39" s="27">
        <f>K39/$O$38</f>
        <v>5</v>
      </c>
      <c r="R39" s="166"/>
      <c r="S39" s="66"/>
    </row>
    <row r="40" spans="1:19" x14ac:dyDescent="0.3">
      <c r="A40" s="215"/>
      <c r="B40" s="148"/>
      <c r="C40" s="245" t="s">
        <v>138</v>
      </c>
      <c r="D40" s="174">
        <v>0.05</v>
      </c>
      <c r="E40" s="3" t="s">
        <v>87</v>
      </c>
      <c r="F40" s="95" t="str">
        <f>LOOKUP(G40,RANGOS!$A$2:$B$6)</f>
        <v xml:space="preserve">Muy baja </v>
      </c>
      <c r="G40" s="49">
        <v>1</v>
      </c>
      <c r="H40" s="95" t="str">
        <f>LOOKUP(I40,RANGOS!$A$9:$B$13)</f>
        <v xml:space="preserve">Muy bajo </v>
      </c>
      <c r="I40" s="55">
        <f>'Data servicios'!G42</f>
        <v>1</v>
      </c>
      <c r="J40" s="95" t="str">
        <f>LOOKUP(K40,RANGOS!$F$2:$G$26)</f>
        <v xml:space="preserve">MUY BAJO </v>
      </c>
      <c r="K40" s="95">
        <f t="shared" si="7"/>
        <v>1</v>
      </c>
      <c r="L40" s="168">
        <f>$B$24*$D$40*AVERAGE(K40:K43)</f>
        <v>6.25E-2</v>
      </c>
      <c r="M40" s="264"/>
      <c r="N40" s="190" t="str">
        <f>LOOKUP(O40,RANGOS!$A$16:$B$20)</f>
        <v xml:space="preserve">Muy bajo </v>
      </c>
      <c r="O40" s="190">
        <v>1</v>
      </c>
      <c r="P40" s="95" t="str">
        <f>LOOKUP(Q40,RANGOS!$F$2:$G$26)</f>
        <v xml:space="preserve">MUY BAJO </v>
      </c>
      <c r="Q40" s="95">
        <f>K40/$O$40</f>
        <v>1</v>
      </c>
      <c r="R40" s="168">
        <f>$B$24*$D$40*AVERAGE(Q40:Q43)</f>
        <v>6.25E-2</v>
      </c>
      <c r="S40" s="66"/>
    </row>
    <row r="41" spans="1:19" x14ac:dyDescent="0.3">
      <c r="A41" s="215"/>
      <c r="B41" s="148"/>
      <c r="C41" s="246"/>
      <c r="D41" s="175"/>
      <c r="E41" s="3" t="s">
        <v>88</v>
      </c>
      <c r="F41" s="27" t="str">
        <f>LOOKUP(G41,RANGOS!$A$2:$B$6)</f>
        <v xml:space="preserve">Muy baja </v>
      </c>
      <c r="G41" s="47">
        <v>1</v>
      </c>
      <c r="H41" s="27" t="str">
        <f>LOOKUP(I41,RANGOS!$A$9:$B$13)</f>
        <v>Medio</v>
      </c>
      <c r="I41" s="51">
        <f>'Data servicios'!G43</f>
        <v>3</v>
      </c>
      <c r="J41" s="27" t="str">
        <f>LOOKUP(K41,RANGOS!$F$2:$G$26)</f>
        <v>BAJO</v>
      </c>
      <c r="K41" s="27">
        <f t="shared" si="7"/>
        <v>3</v>
      </c>
      <c r="L41" s="166"/>
      <c r="M41" s="263"/>
      <c r="N41" s="149"/>
      <c r="O41" s="149"/>
      <c r="P41" s="27" t="str">
        <f>LOOKUP(Q41,RANGOS!$F$2:$G$26)</f>
        <v>BAJO</v>
      </c>
      <c r="Q41" s="27">
        <f>K41/$O$40</f>
        <v>3</v>
      </c>
      <c r="R41" s="166"/>
      <c r="S41" s="66"/>
    </row>
    <row r="42" spans="1:19" x14ac:dyDescent="0.3">
      <c r="A42" s="215"/>
      <c r="B42" s="148"/>
      <c r="C42" s="246"/>
      <c r="D42" s="175"/>
      <c r="E42" s="3" t="s">
        <v>89</v>
      </c>
      <c r="F42" s="27" t="str">
        <f>LOOKUP(G42,RANGOS!$A$2:$B$6)</f>
        <v xml:space="preserve">Muy baja </v>
      </c>
      <c r="G42" s="47">
        <v>1</v>
      </c>
      <c r="H42" s="27" t="str">
        <f>LOOKUP(I42,RANGOS!$A$9:$B$13)</f>
        <v>Alto</v>
      </c>
      <c r="I42" s="51">
        <f>'Data servicios'!G44</f>
        <v>4</v>
      </c>
      <c r="J42" s="27" t="str">
        <f>LOOKUP(K42,RANGOS!$F$2:$G$26)</f>
        <v>BAJO</v>
      </c>
      <c r="K42" s="27">
        <f t="shared" si="7"/>
        <v>4</v>
      </c>
      <c r="L42" s="166"/>
      <c r="M42" s="263"/>
      <c r="N42" s="149"/>
      <c r="O42" s="149"/>
      <c r="P42" s="27" t="str">
        <f>LOOKUP(Q42,RANGOS!$F$2:$G$26)</f>
        <v>BAJO</v>
      </c>
      <c r="Q42" s="27">
        <f>K42/$O$40</f>
        <v>4</v>
      </c>
      <c r="R42" s="166"/>
      <c r="S42" s="66"/>
    </row>
    <row r="43" spans="1:19" x14ac:dyDescent="0.3">
      <c r="A43" s="215"/>
      <c r="B43" s="148"/>
      <c r="C43" s="247"/>
      <c r="D43" s="176"/>
      <c r="E43" s="29" t="s">
        <v>90</v>
      </c>
      <c r="F43" s="96" t="s">
        <v>22</v>
      </c>
      <c r="G43" s="48">
        <v>1</v>
      </c>
      <c r="H43" s="96" t="str">
        <f>LOOKUP(I43,RANGOS!$A$9:$B$13)</f>
        <v xml:space="preserve">Bajo </v>
      </c>
      <c r="I43" s="56">
        <f>'Data servicios'!G45</f>
        <v>2</v>
      </c>
      <c r="J43" s="96" t="str">
        <f>LOOKUP(K43,RANGOS!$F$2:$G$26)</f>
        <v>BAJO</v>
      </c>
      <c r="K43" s="96">
        <f t="shared" si="7"/>
        <v>2</v>
      </c>
      <c r="L43" s="167"/>
      <c r="M43" s="265"/>
      <c r="N43" s="191"/>
      <c r="O43" s="191"/>
      <c r="P43" s="96" t="str">
        <f>LOOKUP(Q43,RANGOS!$F$2:$G$26)</f>
        <v>BAJO</v>
      </c>
      <c r="Q43" s="27">
        <f>K43/$O$40</f>
        <v>2</v>
      </c>
      <c r="R43" s="167"/>
      <c r="S43" s="66"/>
    </row>
    <row r="44" spans="1:19" x14ac:dyDescent="0.3">
      <c r="A44" s="215"/>
      <c r="B44" s="148"/>
      <c r="C44" s="246" t="s">
        <v>139</v>
      </c>
      <c r="D44" s="148">
        <v>0.1</v>
      </c>
      <c r="E44" s="20" t="s">
        <v>53</v>
      </c>
      <c r="F44" s="27" t="str">
        <f>LOOKUP(G44,RANGOS!$A$2:$B$6)</f>
        <v xml:space="preserve">Muy baja </v>
      </c>
      <c r="G44" s="47">
        <v>1</v>
      </c>
      <c r="H44" s="27" t="str">
        <f>LOOKUP(I44,RANGOS!$A$9:$B$13)</f>
        <v>Alto</v>
      </c>
      <c r="I44" s="51">
        <f>'Data servicios'!G46</f>
        <v>4</v>
      </c>
      <c r="J44" s="27" t="str">
        <f>LOOKUP(K44,RANGOS!$F$2:$G$26)</f>
        <v>BAJO</v>
      </c>
      <c r="K44" s="27">
        <f t="shared" si="7"/>
        <v>4</v>
      </c>
      <c r="L44" s="163">
        <f>$B$24*$D$44*AVERAGE(K44:K46)</f>
        <v>0.13333333333333333</v>
      </c>
      <c r="M44" s="149"/>
      <c r="N44" s="149" t="str">
        <f>LOOKUP(O44,RANGOS!$A$16:$B$20)</f>
        <v xml:space="preserve">Muy bajo </v>
      </c>
      <c r="O44" s="149">
        <v>1</v>
      </c>
      <c r="P44" s="27" t="str">
        <f>LOOKUP(Q44,RANGOS!$F$2:$G$26)</f>
        <v>BAJO</v>
      </c>
      <c r="Q44" s="95">
        <f>K44/$O$44</f>
        <v>4</v>
      </c>
      <c r="R44" s="163">
        <f>$B$24*$D$44*AVERAGE(Q44:Q46)</f>
        <v>0.13333333333333333</v>
      </c>
      <c r="S44" s="66"/>
    </row>
    <row r="45" spans="1:19" x14ac:dyDescent="0.3">
      <c r="A45" s="215"/>
      <c r="B45" s="148"/>
      <c r="C45" s="246"/>
      <c r="D45" s="148"/>
      <c r="E45" s="3" t="s">
        <v>72</v>
      </c>
      <c r="F45" s="27" t="str">
        <f>LOOKUP(G45,RANGOS!$A$2:$B$6)</f>
        <v xml:space="preserve">Muy baja </v>
      </c>
      <c r="G45" s="47">
        <v>1</v>
      </c>
      <c r="H45" s="27" t="str">
        <f>LOOKUP(I45,RANGOS!$A$9:$B$13)</f>
        <v>Medio</v>
      </c>
      <c r="I45" s="51">
        <f>'Data servicios'!G47</f>
        <v>3</v>
      </c>
      <c r="J45" s="27" t="str">
        <f>LOOKUP(K45,RANGOS!$F$2:$G$26)</f>
        <v>BAJO</v>
      </c>
      <c r="K45" s="27">
        <f t="shared" si="7"/>
        <v>3</v>
      </c>
      <c r="L45" s="163"/>
      <c r="M45" s="149"/>
      <c r="N45" s="149"/>
      <c r="O45" s="149"/>
      <c r="P45" s="27" t="str">
        <f>LOOKUP(Q45,RANGOS!$F$2:$G$26)</f>
        <v>BAJO</v>
      </c>
      <c r="Q45" s="27">
        <f>K45/$O$44</f>
        <v>3</v>
      </c>
      <c r="R45" s="163"/>
      <c r="S45" s="66"/>
    </row>
    <row r="46" spans="1:19" ht="15" thickBot="1" x14ac:dyDescent="0.35">
      <c r="A46" s="216"/>
      <c r="B46" s="217"/>
      <c r="C46" s="253"/>
      <c r="D46" s="217"/>
      <c r="E46" s="75" t="s">
        <v>72</v>
      </c>
      <c r="F46" s="76" t="str">
        <f>LOOKUP(G46,RANGOS!$A$2:$B$6)</f>
        <v xml:space="preserve">Muy baja </v>
      </c>
      <c r="G46" s="77">
        <v>1</v>
      </c>
      <c r="H46" s="76" t="str">
        <f>LOOKUP(I46,RANGOS!$A$9:$B$13)</f>
        <v xml:space="preserve">Muy bajo </v>
      </c>
      <c r="I46" s="78">
        <f>'Data servicios'!G48</f>
        <v>1</v>
      </c>
      <c r="J46" s="76" t="str">
        <f>LOOKUP(K46,RANGOS!$F$2:$G$26)</f>
        <v xml:space="preserve">MUY BAJO </v>
      </c>
      <c r="K46" s="76">
        <f t="shared" si="7"/>
        <v>1</v>
      </c>
      <c r="L46" s="234"/>
      <c r="M46" s="150"/>
      <c r="N46" s="150"/>
      <c r="O46" s="150"/>
      <c r="P46" s="76" t="str">
        <f>LOOKUP(Q46,RANGOS!$F$2:$G$26)</f>
        <v xml:space="preserve">MUY BAJO </v>
      </c>
      <c r="Q46" s="76">
        <f>K46/$O$44</f>
        <v>1</v>
      </c>
      <c r="R46" s="234"/>
      <c r="S46" s="66"/>
    </row>
    <row r="47" spans="1:19" x14ac:dyDescent="0.3">
      <c r="A47" s="255" t="s">
        <v>8</v>
      </c>
      <c r="B47" s="252">
        <v>0.1</v>
      </c>
      <c r="C47" s="258" t="s">
        <v>158</v>
      </c>
      <c r="D47" s="252">
        <v>0.4</v>
      </c>
      <c r="E47" s="80" t="s">
        <v>72</v>
      </c>
      <c r="F47" s="81" t="str">
        <f>LOOKUP(G47,RANGOS!$A$2:$B$6)</f>
        <v xml:space="preserve">Muy baja </v>
      </c>
      <c r="G47" s="82">
        <v>1</v>
      </c>
      <c r="H47" s="81" t="str">
        <f>LOOKUP(I47,RANGOS!$A$9:$B$13)</f>
        <v xml:space="preserve">Muy bajo </v>
      </c>
      <c r="I47" s="83">
        <v>1</v>
      </c>
      <c r="J47" s="81" t="str">
        <f>LOOKUP(K47,RANGOS!$F$2:$G$26)</f>
        <v xml:space="preserve">MUY BAJO </v>
      </c>
      <c r="K47" s="81">
        <f t="shared" ref="K47:K52" si="8">G47*I47</f>
        <v>1</v>
      </c>
      <c r="L47" s="261">
        <f>$B$47*$D$47*AVERAGE(K47:K48)</f>
        <v>4.0000000000000008E-2</v>
      </c>
      <c r="M47" s="256"/>
      <c r="N47" s="256" t="str">
        <f>LOOKUP(O47,RANGOS!$A$16:$B$20)</f>
        <v xml:space="preserve">Muy bajo </v>
      </c>
      <c r="O47" s="256">
        <v>1</v>
      </c>
      <c r="P47" s="81" t="str">
        <f>LOOKUP(Q47,RANGOS!$F$2:$G$26)</f>
        <v xml:space="preserve">MUY BAJO </v>
      </c>
      <c r="Q47" s="81">
        <f>K47/$O$47</f>
        <v>1</v>
      </c>
      <c r="R47" s="261">
        <f>$B$47*$D$47*AVERAGE(Q47:Q48)</f>
        <v>4.0000000000000008E-2</v>
      </c>
      <c r="S47" s="66"/>
    </row>
    <row r="48" spans="1:19" x14ac:dyDescent="0.3">
      <c r="A48" s="241"/>
      <c r="B48" s="148"/>
      <c r="C48" s="211"/>
      <c r="D48" s="148"/>
      <c r="E48" s="3" t="s">
        <v>72</v>
      </c>
      <c r="F48" s="27" t="str">
        <f>LOOKUP(G48,RANGOS!$A$2:$B$6)</f>
        <v xml:space="preserve">Muy baja </v>
      </c>
      <c r="G48" s="47">
        <v>1</v>
      </c>
      <c r="H48" s="27" t="str">
        <f>LOOKUP(I48,RANGOS!$A$9:$B$13)</f>
        <v xml:space="preserve">Muy bajo </v>
      </c>
      <c r="I48" s="51">
        <v>1</v>
      </c>
      <c r="J48" s="27" t="str">
        <f>LOOKUP(K48,RANGOS!$F$2:$G$26)</f>
        <v xml:space="preserve">MUY BAJO </v>
      </c>
      <c r="K48" s="27">
        <f t="shared" si="8"/>
        <v>1</v>
      </c>
      <c r="L48" s="163"/>
      <c r="M48" s="149"/>
      <c r="N48" s="149"/>
      <c r="O48" s="191"/>
      <c r="P48" s="96" t="str">
        <f>LOOKUP(Q48,RANGOS!$F$2:$G$26)</f>
        <v xml:space="preserve">MUY BAJO </v>
      </c>
      <c r="Q48" s="96">
        <f>K48/$O$47</f>
        <v>1</v>
      </c>
      <c r="R48" s="163"/>
      <c r="S48" s="66"/>
    </row>
    <row r="49" spans="1:19" x14ac:dyDescent="0.3">
      <c r="A49" s="241"/>
      <c r="B49" s="148"/>
      <c r="C49" s="210" t="s">
        <v>159</v>
      </c>
      <c r="D49" s="188">
        <v>0.4</v>
      </c>
      <c r="E49" s="20" t="s">
        <v>72</v>
      </c>
      <c r="F49" s="95" t="str">
        <f>LOOKUP(G49,RANGOS!$A$2:$B$6)</f>
        <v xml:space="preserve">Muy baja </v>
      </c>
      <c r="G49" s="49">
        <v>1</v>
      </c>
      <c r="H49" s="95" t="str">
        <f>LOOKUP(I49,RANGOS!$A$9:$B$13)</f>
        <v xml:space="preserve">Muy bajo </v>
      </c>
      <c r="I49" s="55">
        <v>1</v>
      </c>
      <c r="J49" s="95" t="str">
        <f>LOOKUP(K49,RANGOS!$F$2:$G$26)</f>
        <v xml:space="preserve">MUY BAJO </v>
      </c>
      <c r="K49" s="95">
        <f t="shared" si="8"/>
        <v>1</v>
      </c>
      <c r="L49" s="165">
        <f>$B$47*$D$49*AVERAGE(K49:K50)</f>
        <v>4.0000000000000008E-2</v>
      </c>
      <c r="M49" s="190"/>
      <c r="N49" s="190" t="str">
        <f>LOOKUP(O49,RANGOS!$A$16:$B$20)</f>
        <v xml:space="preserve">Muy bajo </v>
      </c>
      <c r="O49" s="190">
        <v>1</v>
      </c>
      <c r="P49" s="27" t="str">
        <f>LOOKUP(Q49,RANGOS!$F$2:$G$26)</f>
        <v xml:space="preserve">MUY BAJO </v>
      </c>
      <c r="Q49" s="27">
        <f>K49/$O$49</f>
        <v>1</v>
      </c>
      <c r="R49" s="165">
        <f>$B$47*$D$49*AVERAGE(Q49:Q50)</f>
        <v>4.0000000000000008E-2</v>
      </c>
      <c r="S49" s="66"/>
    </row>
    <row r="50" spans="1:19" x14ac:dyDescent="0.3">
      <c r="A50" s="241"/>
      <c r="B50" s="148"/>
      <c r="C50" s="212"/>
      <c r="D50" s="187"/>
      <c r="E50" s="29" t="s">
        <v>72</v>
      </c>
      <c r="F50" s="96" t="str">
        <f>LOOKUP(G50,RANGOS!$A$2:$B$6)</f>
        <v xml:space="preserve">Muy baja </v>
      </c>
      <c r="G50" s="48">
        <v>1</v>
      </c>
      <c r="H50" s="96" t="str">
        <f>LOOKUP(I50,RANGOS!$A$9:$B$13)</f>
        <v xml:space="preserve">Muy bajo </v>
      </c>
      <c r="I50" s="56">
        <v>1</v>
      </c>
      <c r="J50" s="96" t="str">
        <f>LOOKUP(K50,RANGOS!$F$2:$G$26)</f>
        <v xml:space="preserve">MUY BAJO </v>
      </c>
      <c r="K50" s="96">
        <f t="shared" si="8"/>
        <v>1</v>
      </c>
      <c r="L50" s="164"/>
      <c r="M50" s="191"/>
      <c r="N50" s="149"/>
      <c r="O50" s="191"/>
      <c r="P50" s="27" t="str">
        <f>LOOKUP(Q50,RANGOS!$F$2:$G$26)</f>
        <v xml:space="preserve">MUY BAJO </v>
      </c>
      <c r="Q50" s="27">
        <f>K50/$O$49</f>
        <v>1</v>
      </c>
      <c r="R50" s="164"/>
      <c r="S50" s="66"/>
    </row>
    <row r="51" spans="1:19" x14ac:dyDescent="0.3">
      <c r="A51" s="241"/>
      <c r="B51" s="148"/>
      <c r="C51" s="211" t="s">
        <v>160</v>
      </c>
      <c r="D51" s="148">
        <v>0.2</v>
      </c>
      <c r="E51" s="3" t="s">
        <v>72</v>
      </c>
      <c r="F51" s="27" t="str">
        <f>LOOKUP(G51,RANGOS!$A$2:$B$6)</f>
        <v xml:space="preserve">Muy baja </v>
      </c>
      <c r="G51" s="47">
        <v>1</v>
      </c>
      <c r="H51" s="27" t="str">
        <f>LOOKUP(I51,RANGOS!$A$9:$B$13)</f>
        <v xml:space="preserve">Muy bajo </v>
      </c>
      <c r="I51" s="51">
        <v>1</v>
      </c>
      <c r="J51" s="27" t="str">
        <f>LOOKUP(K51,RANGOS!$F$2:$G$26)</f>
        <v xml:space="preserve">MUY BAJO </v>
      </c>
      <c r="K51" s="27">
        <f t="shared" si="8"/>
        <v>1</v>
      </c>
      <c r="L51" s="163">
        <f>$B$47*$D$51*AVERAGE(K51:K52)</f>
        <v>2.0000000000000004E-2</v>
      </c>
      <c r="M51" s="149"/>
      <c r="N51" s="190" t="str">
        <f>LOOKUP(O51,RANGOS!$A$16:$B$20)</f>
        <v xml:space="preserve">Muy bajo </v>
      </c>
      <c r="O51" s="190">
        <v>1</v>
      </c>
      <c r="P51" s="95" t="str">
        <f>LOOKUP(Q51,RANGOS!$F$2:$G$26)</f>
        <v xml:space="preserve">MUY BAJO </v>
      </c>
      <c r="Q51" s="95">
        <f>K51/$O$51</f>
        <v>1</v>
      </c>
      <c r="R51" s="163">
        <f>$B$47*$D$51*AVERAGE(Q51:Q52)</f>
        <v>2.0000000000000004E-2</v>
      </c>
      <c r="S51" s="66"/>
    </row>
    <row r="52" spans="1:19" ht="15" thickBot="1" x14ac:dyDescent="0.35">
      <c r="A52" s="242"/>
      <c r="B52" s="217"/>
      <c r="C52" s="218"/>
      <c r="D52" s="217"/>
      <c r="E52" s="75" t="s">
        <v>72</v>
      </c>
      <c r="F52" s="76" t="str">
        <f>LOOKUP(G52,RANGOS!$A$2:$B$6)</f>
        <v xml:space="preserve">Muy baja </v>
      </c>
      <c r="G52" s="77">
        <v>1</v>
      </c>
      <c r="H52" s="76" t="str">
        <f>LOOKUP(I52,RANGOS!$A$9:$B$13)</f>
        <v xml:space="preserve">Muy bajo </v>
      </c>
      <c r="I52" s="78">
        <v>1</v>
      </c>
      <c r="J52" s="76" t="str">
        <f>LOOKUP(K52,RANGOS!$F$2:$G$26)</f>
        <v xml:space="preserve">MUY BAJO </v>
      </c>
      <c r="K52" s="76">
        <f t="shared" si="8"/>
        <v>1</v>
      </c>
      <c r="L52" s="234"/>
      <c r="M52" s="150"/>
      <c r="N52" s="150"/>
      <c r="O52" s="150"/>
      <c r="P52" s="76" t="str">
        <f>LOOKUP(Q52,RANGOS!$F$2:$G$26)</f>
        <v xml:space="preserve">MUY BAJO </v>
      </c>
      <c r="Q52" s="76">
        <f>K52/O51</f>
        <v>1</v>
      </c>
      <c r="R52" s="234"/>
      <c r="S52" s="66"/>
    </row>
    <row r="53" spans="1:19" x14ac:dyDescent="0.3">
      <c r="A53" s="46"/>
      <c r="B53" s="3"/>
      <c r="C53" s="3"/>
      <c r="D53" s="3"/>
      <c r="E53" s="3"/>
      <c r="F53" s="3"/>
      <c r="G53" s="3"/>
      <c r="H53" s="111"/>
      <c r="I53" s="116" t="s">
        <v>179</v>
      </c>
      <c r="J53" s="260" t="str">
        <f>LOOKUP(L53,RANGOS!$F$2:$G$26)</f>
        <v>BAJO</v>
      </c>
      <c r="K53" s="260"/>
      <c r="L53" s="74">
        <f>SUM(L4:L52)</f>
        <v>2.9216666666666673</v>
      </c>
      <c r="M53" s="63"/>
      <c r="N53" s="63"/>
      <c r="O53" s="117" t="s">
        <v>180</v>
      </c>
      <c r="P53" s="241" t="str">
        <f>LOOKUP(R53,RANGOS!$F$2:$G$26)</f>
        <v>BAJO</v>
      </c>
      <c r="Q53" s="241"/>
      <c r="R53" s="74">
        <f>SUM(R4:R52)</f>
        <v>2.0041666666666664</v>
      </c>
    </row>
  </sheetData>
  <mergeCells count="139">
    <mergeCell ref="R47:R48"/>
    <mergeCell ref="R49:R50"/>
    <mergeCell ref="R51:R52"/>
    <mergeCell ref="R32:R34"/>
    <mergeCell ref="R35:R37"/>
    <mergeCell ref="R38:R39"/>
    <mergeCell ref="R40:R43"/>
    <mergeCell ref="R44:R46"/>
    <mergeCell ref="R18:R19"/>
    <mergeCell ref="R20:R23"/>
    <mergeCell ref="R24:R26"/>
    <mergeCell ref="R27:R29"/>
    <mergeCell ref="R30:R31"/>
    <mergeCell ref="M47:M48"/>
    <mergeCell ref="M49:M50"/>
    <mergeCell ref="O4:O6"/>
    <mergeCell ref="O7:O9"/>
    <mergeCell ref="O10:O11"/>
    <mergeCell ref="O12:O14"/>
    <mergeCell ref="O15:O17"/>
    <mergeCell ref="O18:O19"/>
    <mergeCell ref="N7:N9"/>
    <mergeCell ref="N10:N11"/>
    <mergeCell ref="N12:N14"/>
    <mergeCell ref="N15:N17"/>
    <mergeCell ref="N18:N19"/>
    <mergeCell ref="M38:M39"/>
    <mergeCell ref="R4:R6"/>
    <mergeCell ref="R7:R9"/>
    <mergeCell ref="R10:R11"/>
    <mergeCell ref="R12:R14"/>
    <mergeCell ref="R15:R17"/>
    <mergeCell ref="M40:M43"/>
    <mergeCell ref="M44:M46"/>
    <mergeCell ref="L27:L29"/>
    <mergeCell ref="L30:L31"/>
    <mergeCell ref="L4:L6"/>
    <mergeCell ref="L7:L9"/>
    <mergeCell ref="L10:L11"/>
    <mergeCell ref="L12:L14"/>
    <mergeCell ref="L15:L17"/>
    <mergeCell ref="J53:K53"/>
    <mergeCell ref="M51:M52"/>
    <mergeCell ref="L47:L48"/>
    <mergeCell ref="L49:L50"/>
    <mergeCell ref="L51:L52"/>
    <mergeCell ref="M4:M6"/>
    <mergeCell ref="M7:M9"/>
    <mergeCell ref="M10:M11"/>
    <mergeCell ref="M12:M14"/>
    <mergeCell ref="M15:M17"/>
    <mergeCell ref="M18:M19"/>
    <mergeCell ref="M20:M23"/>
    <mergeCell ref="M24:M26"/>
    <mergeCell ref="M27:M29"/>
    <mergeCell ref="M30:M31"/>
    <mergeCell ref="M32:M34"/>
    <mergeCell ref="M35:M37"/>
    <mergeCell ref="L32:L34"/>
    <mergeCell ref="L35:L37"/>
    <mergeCell ref="L38:L39"/>
    <mergeCell ref="L40:L43"/>
    <mergeCell ref="L44:L46"/>
    <mergeCell ref="L18:L19"/>
    <mergeCell ref="L20:L23"/>
    <mergeCell ref="P53:Q53"/>
    <mergeCell ref="O20:O23"/>
    <mergeCell ref="C47:C48"/>
    <mergeCell ref="C49:C50"/>
    <mergeCell ref="D47:D48"/>
    <mergeCell ref="D49:D50"/>
    <mergeCell ref="D51:D52"/>
    <mergeCell ref="C51:C52"/>
    <mergeCell ref="N47:N48"/>
    <mergeCell ref="O47:O48"/>
    <mergeCell ref="N49:N50"/>
    <mergeCell ref="O49:O50"/>
    <mergeCell ref="N51:N52"/>
    <mergeCell ref="O51:O52"/>
    <mergeCell ref="O35:O37"/>
    <mergeCell ref="O38:O39"/>
    <mergeCell ref="O40:O43"/>
    <mergeCell ref="O44:O46"/>
    <mergeCell ref="N20:N23"/>
    <mergeCell ref="O24:O26"/>
    <mergeCell ref="O27:O29"/>
    <mergeCell ref="O30:O31"/>
    <mergeCell ref="O32:O34"/>
    <mergeCell ref="L24:L26"/>
    <mergeCell ref="N3:O3"/>
    <mergeCell ref="P3:Q3"/>
    <mergeCell ref="B47:B52"/>
    <mergeCell ref="A47:A52"/>
    <mergeCell ref="D20:D23"/>
    <mergeCell ref="D44:D46"/>
    <mergeCell ref="N24:N26"/>
    <mergeCell ref="N27:N29"/>
    <mergeCell ref="N30:N31"/>
    <mergeCell ref="N32:N34"/>
    <mergeCell ref="N35:N37"/>
    <mergeCell ref="N38:N39"/>
    <mergeCell ref="N40:N43"/>
    <mergeCell ref="N44:N46"/>
    <mergeCell ref="N4:N6"/>
    <mergeCell ref="D15:D17"/>
    <mergeCell ref="A4:A23"/>
    <mergeCell ref="B4:B23"/>
    <mergeCell ref="C20:C23"/>
    <mergeCell ref="C18:C19"/>
    <mergeCell ref="D10:D11"/>
    <mergeCell ref="D12:D14"/>
    <mergeCell ref="D18:D19"/>
    <mergeCell ref="C4:C6"/>
    <mergeCell ref="D40:D43"/>
    <mergeCell ref="D35:D37"/>
    <mergeCell ref="A24:A46"/>
    <mergeCell ref="B24:B46"/>
    <mergeCell ref="C35:C37"/>
    <mergeCell ref="C40:C43"/>
    <mergeCell ref="C30:C31"/>
    <mergeCell ref="D24:D26"/>
    <mergeCell ref="D27:D29"/>
    <mergeCell ref="D30:D31"/>
    <mergeCell ref="D32:D34"/>
    <mergeCell ref="D38:D39"/>
    <mergeCell ref="C44:C46"/>
    <mergeCell ref="C32:C34"/>
    <mergeCell ref="C38:C39"/>
    <mergeCell ref="C24:C26"/>
    <mergeCell ref="C27:C29"/>
    <mergeCell ref="F3:G3"/>
    <mergeCell ref="H3:I3"/>
    <mergeCell ref="J3:K3"/>
    <mergeCell ref="D4:D6"/>
    <mergeCell ref="D7:D9"/>
    <mergeCell ref="C7:C9"/>
    <mergeCell ref="C15:C17"/>
    <mergeCell ref="C10:C11"/>
    <mergeCell ref="C12:C1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G48"/>
  <sheetViews>
    <sheetView zoomScale="110" zoomScaleNormal="110" workbookViewId="0">
      <selection activeCell="C47" sqref="C47"/>
    </sheetView>
  </sheetViews>
  <sheetFormatPr baseColWidth="10" defaultRowHeight="14.4" x14ac:dyDescent="0.3"/>
  <cols>
    <col min="1" max="1" width="19.88671875" customWidth="1"/>
    <col min="2" max="2" width="23.109375" customWidth="1"/>
    <col min="3" max="3" width="25.33203125" customWidth="1"/>
    <col min="4" max="4" width="9.44140625" customWidth="1"/>
    <col min="5" max="5" width="11.88671875" customWidth="1"/>
    <col min="6" max="6" width="11.44140625" customWidth="1"/>
    <col min="7" max="7" width="5" customWidth="1"/>
  </cols>
  <sheetData>
    <row r="1" spans="1:7" ht="17.399999999999999" x14ac:dyDescent="0.3">
      <c r="A1" s="100" t="s">
        <v>184</v>
      </c>
      <c r="C1" s="10"/>
      <c r="D1" s="10"/>
      <c r="E1" s="10"/>
    </row>
    <row r="2" spans="1:7" x14ac:dyDescent="0.3">
      <c r="A2" s="1"/>
      <c r="C2" s="10"/>
      <c r="D2" s="10"/>
      <c r="E2" s="10"/>
    </row>
    <row r="3" spans="1:7" x14ac:dyDescent="0.3">
      <c r="A3" s="1" t="s">
        <v>171</v>
      </c>
      <c r="C3" s="10"/>
      <c r="D3" s="10"/>
      <c r="E3" s="10"/>
    </row>
    <row r="4" spans="1:7" x14ac:dyDescent="0.3">
      <c r="A4" s="3"/>
      <c r="C4" s="10"/>
      <c r="D4" s="10"/>
      <c r="E4" s="10"/>
    </row>
    <row r="5" spans="1:7" ht="15" thickBot="1" x14ac:dyDescent="0.35">
      <c r="A5" s="120" t="s">
        <v>0</v>
      </c>
      <c r="B5" s="120" t="s">
        <v>1</v>
      </c>
      <c r="C5" s="120" t="s">
        <v>2</v>
      </c>
      <c r="D5" s="118" t="s">
        <v>125</v>
      </c>
      <c r="E5" s="118" t="s">
        <v>70</v>
      </c>
      <c r="F5" s="152" t="s">
        <v>16</v>
      </c>
      <c r="G5" s="152"/>
    </row>
    <row r="6" spans="1:7" x14ac:dyDescent="0.3">
      <c r="A6" s="170" t="s">
        <v>164</v>
      </c>
      <c r="B6" s="211" t="s">
        <v>165</v>
      </c>
      <c r="C6" s="3" t="s">
        <v>10</v>
      </c>
      <c r="D6" s="44">
        <v>73733</v>
      </c>
      <c r="E6" s="33">
        <f>D6/SUM($D$6:$D$8)</f>
        <v>0.82384160716879518</v>
      </c>
      <c r="F6" s="28" t="e">
        <f>LOOKUP(E6,RANGOS!#REF!)</f>
        <v>#REF!</v>
      </c>
      <c r="G6" s="28">
        <f>LOOKUP(E6,RANGOS!$I$2:$J$101)</f>
        <v>5</v>
      </c>
    </row>
    <row r="7" spans="1:7" x14ac:dyDescent="0.3">
      <c r="A7" s="170"/>
      <c r="B7" s="211"/>
      <c r="C7" s="3" t="s">
        <v>11</v>
      </c>
      <c r="D7" s="44">
        <v>7383</v>
      </c>
      <c r="E7" s="33">
        <f>D7/SUM($D$6:$D$8)</f>
        <v>8.2492541816109682E-2</v>
      </c>
      <c r="F7" s="28" t="e">
        <f>LOOKUP(E7,RANGOS!#REF!)</f>
        <v>#REF!</v>
      </c>
      <c r="G7" s="28">
        <f>LOOKUP(E7,RANGOS!$I$2:$J$101)</f>
        <v>2</v>
      </c>
    </row>
    <row r="8" spans="1:7" x14ac:dyDescent="0.3">
      <c r="A8" s="170"/>
      <c r="B8" s="212"/>
      <c r="C8" s="29" t="s">
        <v>12</v>
      </c>
      <c r="D8" s="45">
        <v>8383</v>
      </c>
      <c r="E8" s="35">
        <f>D8/SUM($D$6:$D$8)</f>
        <v>9.3665851015095142E-2</v>
      </c>
      <c r="F8" s="40" t="e">
        <f>LOOKUP(E8,RANGOS!#REF!)</f>
        <v>#REF!</v>
      </c>
      <c r="G8" s="40">
        <f>LOOKUP(E8,RANGOS!$I$2:$J$101)</f>
        <v>2</v>
      </c>
    </row>
    <row r="9" spans="1:7" ht="15" customHeight="1" x14ac:dyDescent="0.3">
      <c r="A9" s="170"/>
      <c r="B9" s="210" t="s">
        <v>166</v>
      </c>
      <c r="C9" s="20" t="s">
        <v>10</v>
      </c>
      <c r="D9" s="43">
        <v>6362</v>
      </c>
      <c r="E9" s="34">
        <f>D9/SUM($D$9:$D$11)</f>
        <v>6.3288368946719187E-2</v>
      </c>
      <c r="F9" s="39" t="e">
        <f>LOOKUP(E9,RANGOS!#REF!)</f>
        <v>#REF!</v>
      </c>
      <c r="G9" s="39">
        <f>LOOKUP(E9,RANGOS!$I$2:$J$101)</f>
        <v>2</v>
      </c>
    </row>
    <row r="10" spans="1:7" x14ac:dyDescent="0.3">
      <c r="A10" s="170"/>
      <c r="B10" s="211"/>
      <c r="C10" s="3" t="s">
        <v>11</v>
      </c>
      <c r="D10" s="44">
        <v>8378</v>
      </c>
      <c r="E10" s="33">
        <f>D10/SUM($D$9:$D$11)</f>
        <v>8.3343281206478048E-2</v>
      </c>
      <c r="F10" s="28" t="e">
        <f>LOOKUP(E10,RANGOS!#REF!)</f>
        <v>#REF!</v>
      </c>
      <c r="G10" s="28">
        <f>LOOKUP(E10,RANGOS!$I$2:$J$101)</f>
        <v>2</v>
      </c>
    </row>
    <row r="11" spans="1:7" x14ac:dyDescent="0.3">
      <c r="A11" s="170"/>
      <c r="B11" s="212"/>
      <c r="C11" s="29" t="s">
        <v>12</v>
      </c>
      <c r="D11" s="45">
        <v>85784</v>
      </c>
      <c r="E11" s="35">
        <f>D11/SUM($D$9:$D$11)</f>
        <v>0.85336834984680277</v>
      </c>
      <c r="F11" s="40" t="e">
        <f>LOOKUP(E11,RANGOS!#REF!)</f>
        <v>#REF!</v>
      </c>
      <c r="G11" s="40">
        <f>LOOKUP(E11,RANGOS!$I$2:$J$101)</f>
        <v>5</v>
      </c>
    </row>
    <row r="12" spans="1:7" ht="15" customHeight="1" x14ac:dyDescent="0.3">
      <c r="A12" s="170"/>
      <c r="B12" s="210" t="s">
        <v>9</v>
      </c>
      <c r="C12" s="20" t="s">
        <v>94</v>
      </c>
      <c r="D12" s="43">
        <v>7474</v>
      </c>
      <c r="E12" s="34">
        <f>D12/SUM($D$12:$D$13)</f>
        <v>8.9811220995205415E-2</v>
      </c>
      <c r="F12" s="39" t="e">
        <f>LOOKUP(E12,RANGOS!#REF!)</f>
        <v>#REF!</v>
      </c>
      <c r="G12" s="39">
        <f>LOOKUP(E12,RANGOS!$I$2:$J$101)</f>
        <v>2</v>
      </c>
    </row>
    <row r="13" spans="1:7" x14ac:dyDescent="0.3">
      <c r="A13" s="170"/>
      <c r="B13" s="212"/>
      <c r="C13" s="29" t="s">
        <v>95</v>
      </c>
      <c r="D13" s="45">
        <v>75745</v>
      </c>
      <c r="E13" s="35">
        <f>D13/SUM($D$12:$D$13)</f>
        <v>0.91018877900479456</v>
      </c>
      <c r="F13" s="40" t="e">
        <f>LOOKUP(E13,RANGOS!#REF!)</f>
        <v>#REF!</v>
      </c>
      <c r="G13" s="40">
        <f>LOOKUP(E13,RANGOS!$I$2:$J$101)</f>
        <v>5</v>
      </c>
    </row>
    <row r="14" spans="1:7" x14ac:dyDescent="0.3">
      <c r="A14" s="170"/>
      <c r="B14" s="204" t="s">
        <v>134</v>
      </c>
      <c r="C14" s="41" t="s">
        <v>144</v>
      </c>
      <c r="D14" s="43">
        <v>8484</v>
      </c>
      <c r="E14" s="34">
        <f>D14/SUM($D$14:$D$16)</f>
        <v>0.46108695652173914</v>
      </c>
      <c r="F14" s="39" t="e">
        <f>LOOKUP(E14,RANGOS!#REF!)</f>
        <v>#REF!</v>
      </c>
      <c r="G14" s="39">
        <f>LOOKUP(E14,RANGOS!$I$2:$J$101)</f>
        <v>3</v>
      </c>
    </row>
    <row r="15" spans="1:7" x14ac:dyDescent="0.3">
      <c r="A15" s="170"/>
      <c r="B15" s="205"/>
      <c r="C15" s="42" t="s">
        <v>145</v>
      </c>
      <c r="D15" s="44">
        <v>9272</v>
      </c>
      <c r="E15" s="33">
        <f>D15/SUM($D$14:$D$16)</f>
        <v>0.50391304347826082</v>
      </c>
      <c r="F15" s="28" t="e">
        <f>LOOKUP(E15,RANGOS!#REF!)</f>
        <v>#REF!</v>
      </c>
      <c r="G15" s="28">
        <f>LOOKUP(E15,RANGOS!$I$2:$J$101)</f>
        <v>3</v>
      </c>
    </row>
    <row r="16" spans="1:7" x14ac:dyDescent="0.3">
      <c r="A16" s="170"/>
      <c r="B16" s="206"/>
      <c r="C16" s="29" t="s">
        <v>146</v>
      </c>
      <c r="D16" s="45">
        <v>644</v>
      </c>
      <c r="E16" s="35">
        <f>D16/SUM($D$14:$D$16)</f>
        <v>3.5000000000000003E-2</v>
      </c>
      <c r="F16" s="40" t="e">
        <f>LOOKUP(E16,RANGOS!#REF!)</f>
        <v>#REF!</v>
      </c>
      <c r="G16" s="40">
        <f>LOOKUP(E16,RANGOS!$I$2:$J$101)</f>
        <v>1</v>
      </c>
    </row>
    <row r="17" spans="1:7" x14ac:dyDescent="0.3">
      <c r="A17" s="170"/>
      <c r="B17" s="204" t="s">
        <v>130</v>
      </c>
      <c r="C17" s="41" t="s">
        <v>144</v>
      </c>
      <c r="D17" s="43">
        <v>73</v>
      </c>
      <c r="E17" s="34">
        <f>D17/SUM($D$17:$D$19)</f>
        <v>6.2806504344833517E-3</v>
      </c>
      <c r="F17" s="39" t="e">
        <f>LOOKUP(E17,RANGOS!#REF!)</f>
        <v>#REF!</v>
      </c>
      <c r="G17" s="39">
        <f>LOOKUP(E17,RANGOS!$I$2:$J$101)</f>
        <v>1</v>
      </c>
    </row>
    <row r="18" spans="1:7" x14ac:dyDescent="0.3">
      <c r="A18" s="170"/>
      <c r="B18" s="205"/>
      <c r="C18" s="42" t="s">
        <v>145</v>
      </c>
      <c r="D18" s="44">
        <v>3773</v>
      </c>
      <c r="E18" s="33">
        <f>D18/SUM($D$17:$D$19)</f>
        <v>0.32461498752473544</v>
      </c>
      <c r="F18" s="28" t="e">
        <f>LOOKUP(E18,RANGOS!#REF!)</f>
        <v>#REF!</v>
      </c>
      <c r="G18" s="28">
        <f>LOOKUP(E18,RANGOS!$I$2:$J$101)</f>
        <v>3</v>
      </c>
    </row>
    <row r="19" spans="1:7" x14ac:dyDescent="0.3">
      <c r="A19" s="170"/>
      <c r="B19" s="206"/>
      <c r="C19" s="29" t="s">
        <v>146</v>
      </c>
      <c r="D19" s="45">
        <v>7777</v>
      </c>
      <c r="E19" s="35">
        <f>D19/SUM($D$17:$D$19)</f>
        <v>0.66910436204078116</v>
      </c>
      <c r="F19" s="40" t="e">
        <f>LOOKUP(E19,RANGOS!#REF!)</f>
        <v>#REF!</v>
      </c>
      <c r="G19" s="40">
        <f>LOOKUP(E19,RANGOS!$I$2:$J$101)</f>
        <v>4</v>
      </c>
    </row>
    <row r="20" spans="1:7" x14ac:dyDescent="0.3">
      <c r="A20" s="170"/>
      <c r="B20" s="210" t="s">
        <v>161</v>
      </c>
      <c r="C20" s="20" t="s">
        <v>85</v>
      </c>
      <c r="D20" s="43">
        <v>8585</v>
      </c>
      <c r="E20" s="34">
        <f>D20/SUM($D$20:$D$21)</f>
        <v>9.3246296215840463E-2</v>
      </c>
      <c r="F20" s="39" t="e">
        <f>LOOKUP(E20,RANGOS!#REF!)</f>
        <v>#REF!</v>
      </c>
      <c r="G20" s="39">
        <f>LOOKUP(E20,RANGOS!$I$2:$J$101)</f>
        <v>2</v>
      </c>
    </row>
    <row r="21" spans="1:7" x14ac:dyDescent="0.3">
      <c r="A21" s="170"/>
      <c r="B21" s="212"/>
      <c r="C21" s="29" t="s">
        <v>86</v>
      </c>
      <c r="D21" s="45">
        <v>83483</v>
      </c>
      <c r="E21" s="35">
        <f>D21/SUM($D$20:$D$21)</f>
        <v>0.90675370378415954</v>
      </c>
      <c r="F21" s="40" t="e">
        <f>LOOKUP(E21,RANGOS!#REF!)</f>
        <v>#REF!</v>
      </c>
      <c r="G21" s="40">
        <f>LOOKUP(E21,RANGOS!$I$2:$J$101)</f>
        <v>5</v>
      </c>
    </row>
    <row r="22" spans="1:7" ht="15" customHeight="1" x14ac:dyDescent="0.3">
      <c r="A22" s="170"/>
      <c r="B22" s="149" t="s">
        <v>172</v>
      </c>
      <c r="C22" s="3" t="s">
        <v>53</v>
      </c>
      <c r="D22" s="44">
        <v>774</v>
      </c>
      <c r="E22" s="58">
        <f>D22/SUM($D$22:$D$25)</f>
        <v>9.2330816304620113E-3</v>
      </c>
      <c r="F22" s="28" t="e">
        <f>LOOKUP(E22,RANGOS!#REF!)</f>
        <v>#REF!</v>
      </c>
      <c r="G22" s="28">
        <f>LOOKUP(E22,RANGOS!$I$2:$J$101)</f>
        <v>1</v>
      </c>
    </row>
    <row r="23" spans="1:7" x14ac:dyDescent="0.3">
      <c r="A23" s="170"/>
      <c r="B23" s="149"/>
      <c r="C23" s="3" t="s">
        <v>54</v>
      </c>
      <c r="D23" s="44">
        <v>8484</v>
      </c>
      <c r="E23" s="58">
        <f>D23/SUM($D$22:$D$25)</f>
        <v>0.10120602655405647</v>
      </c>
      <c r="F23" s="28" t="e">
        <f>LOOKUP(E23,RANGOS!#REF!)</f>
        <v>#REF!</v>
      </c>
      <c r="G23" s="28">
        <f>LOOKUP(E23,RANGOS!$I$2:$J$101)</f>
        <v>2</v>
      </c>
    </row>
    <row r="24" spans="1:7" x14ac:dyDescent="0.3">
      <c r="A24" s="170"/>
      <c r="B24" s="149"/>
      <c r="C24" s="3" t="s">
        <v>196</v>
      </c>
      <c r="D24" s="44">
        <v>73733</v>
      </c>
      <c r="E24" s="58">
        <f>D24/SUM($D$22:$D$25)</f>
        <v>0.87956435123883148</v>
      </c>
      <c r="F24" s="28" t="e">
        <f>LOOKUP(E24,RANGOS!#REF!)</f>
        <v>#REF!</v>
      </c>
      <c r="G24" s="28">
        <f>LOOKUP(E24,RANGOS!$I$2:$J$101)</f>
        <v>5</v>
      </c>
    </row>
    <row r="25" spans="1:7" ht="15" thickBot="1" x14ac:dyDescent="0.35">
      <c r="A25" s="220"/>
      <c r="B25" s="150"/>
      <c r="C25" s="75" t="s">
        <v>195</v>
      </c>
      <c r="D25" s="109">
        <v>838</v>
      </c>
      <c r="E25" s="119">
        <f>D25/SUM($D$22:$D$25)</f>
        <v>9.9965405766500853E-3</v>
      </c>
      <c r="F25" s="97" t="e">
        <f>LOOKUP(E25,RANGOS!#REF!)</f>
        <v>#REF!</v>
      </c>
      <c r="G25" s="97">
        <f>LOOKUP(E25,RANGOS!$I$2:$J$101)</f>
        <v>1</v>
      </c>
    </row>
    <row r="26" spans="1:7" x14ac:dyDescent="0.3">
      <c r="A26" s="215" t="s">
        <v>169</v>
      </c>
      <c r="B26" s="211" t="s">
        <v>167</v>
      </c>
      <c r="C26" s="3" t="s">
        <v>92</v>
      </c>
      <c r="D26" s="44">
        <v>38833</v>
      </c>
      <c r="E26" s="33">
        <f>D26/SUM($D$26:$D$28)</f>
        <v>0.72868347969676495</v>
      </c>
      <c r="F26" s="28" t="e">
        <f>LOOKUP(E26,RANGOS!#REF!)</f>
        <v>#REF!</v>
      </c>
      <c r="G26" s="28">
        <f>LOOKUP(E26,RANGOS!$I$2:$J$101)</f>
        <v>5</v>
      </c>
    </row>
    <row r="27" spans="1:7" x14ac:dyDescent="0.3">
      <c r="A27" s="215"/>
      <c r="B27" s="211"/>
      <c r="C27" s="3" t="s">
        <v>12</v>
      </c>
      <c r="D27" s="44">
        <v>5884</v>
      </c>
      <c r="E27" s="33">
        <f>D27/SUM($D$26:$D$28)</f>
        <v>0.11041056819034752</v>
      </c>
      <c r="F27" s="28" t="e">
        <f>LOOKUP(E27,RANGOS!#REF!)</f>
        <v>#REF!</v>
      </c>
      <c r="G27" s="28">
        <f>LOOKUP(E27,RANGOS!$I$2:$J$101)</f>
        <v>2</v>
      </c>
    </row>
    <row r="28" spans="1:7" x14ac:dyDescent="0.3">
      <c r="A28" s="215"/>
      <c r="B28" s="212"/>
      <c r="C28" s="29" t="s">
        <v>93</v>
      </c>
      <c r="D28" s="45">
        <v>8575</v>
      </c>
      <c r="E28" s="35">
        <f>D28/SUM($D$26:$D$28)</f>
        <v>0.1609059521128875</v>
      </c>
      <c r="F28" s="40" t="e">
        <f>LOOKUP(E28,RANGOS!#REF!)</f>
        <v>#REF!</v>
      </c>
      <c r="G28" s="40">
        <f>LOOKUP(E28,RANGOS!$I$2:$J$101)</f>
        <v>2</v>
      </c>
    </row>
    <row r="29" spans="1:7" x14ac:dyDescent="0.3">
      <c r="A29" s="215"/>
      <c r="B29" s="210" t="s">
        <v>168</v>
      </c>
      <c r="C29" s="20" t="s">
        <v>11</v>
      </c>
      <c r="D29" s="43">
        <v>838</v>
      </c>
      <c r="E29" s="34">
        <f>D29/SUM($D$29:$D$31)</f>
        <v>8.1588939733229476E-2</v>
      </c>
      <c r="F29" s="39" t="e">
        <f>LOOKUP(E29,RANGOS!#REF!)</f>
        <v>#REF!</v>
      </c>
      <c r="G29" s="39">
        <f>LOOKUP(E29,RANGOS!$I$2:$J$101)</f>
        <v>2</v>
      </c>
    </row>
    <row r="30" spans="1:7" x14ac:dyDescent="0.3">
      <c r="A30" s="215"/>
      <c r="B30" s="211"/>
      <c r="C30" s="3" t="s">
        <v>12</v>
      </c>
      <c r="D30" s="44">
        <v>8585</v>
      </c>
      <c r="E30" s="33">
        <f>D30/SUM($D$29:$D$31)</f>
        <v>0.83584850550092493</v>
      </c>
      <c r="F30" s="28" t="e">
        <f>LOOKUP(E30,RANGOS!#REF!)</f>
        <v>#REF!</v>
      </c>
      <c r="G30" s="28">
        <f>LOOKUP(E30,RANGOS!$I$2:$J$101)</f>
        <v>5</v>
      </c>
    </row>
    <row r="31" spans="1:7" x14ac:dyDescent="0.3">
      <c r="A31" s="215"/>
      <c r="B31" s="212"/>
      <c r="C31" s="29" t="s">
        <v>93</v>
      </c>
      <c r="D31" s="45">
        <v>848</v>
      </c>
      <c r="E31" s="35">
        <f>D31/SUM($D$29:$D$31)</f>
        <v>8.2562554765845578E-2</v>
      </c>
      <c r="F31" s="40" t="e">
        <f>LOOKUP(E31,RANGOS!#REF!)</f>
        <v>#REF!</v>
      </c>
      <c r="G31" s="40">
        <f>LOOKUP(E31,RANGOS!$I$2:$J$101)</f>
        <v>2</v>
      </c>
    </row>
    <row r="32" spans="1:7" x14ac:dyDescent="0.3">
      <c r="A32" s="215"/>
      <c r="B32" s="210" t="s">
        <v>56</v>
      </c>
      <c r="C32" s="20" t="s">
        <v>94</v>
      </c>
      <c r="D32" s="43">
        <v>56885</v>
      </c>
      <c r="E32" s="34">
        <f>D32/SUM($D$32:$D$33)</f>
        <v>0.9898207760570733</v>
      </c>
      <c r="F32" s="39" t="e">
        <f>LOOKUP(E32,RANGOS!#REF!)</f>
        <v>#REF!</v>
      </c>
      <c r="G32" s="39">
        <f>LOOKUP(E32,RANGOS!$I$2:$J$101)</f>
        <v>5</v>
      </c>
    </row>
    <row r="33" spans="1:7" x14ac:dyDescent="0.3">
      <c r="A33" s="215"/>
      <c r="B33" s="212"/>
      <c r="C33" s="29" t="s">
        <v>95</v>
      </c>
      <c r="D33" s="45">
        <v>585</v>
      </c>
      <c r="E33" s="35">
        <f>D33/SUM($D$32:$D$33)</f>
        <v>1.0179223942926745E-2</v>
      </c>
      <c r="F33" s="40" t="e">
        <f>LOOKUP(E33,RANGOS!#REF!)</f>
        <v>#REF!</v>
      </c>
      <c r="G33" s="40">
        <f>LOOKUP(E33,RANGOS!$I$2:$J$101)</f>
        <v>1</v>
      </c>
    </row>
    <row r="34" spans="1:7" x14ac:dyDescent="0.3">
      <c r="A34" s="215"/>
      <c r="B34" s="204" t="s">
        <v>135</v>
      </c>
      <c r="C34" s="41" t="s">
        <v>141</v>
      </c>
      <c r="D34" s="43">
        <v>83823</v>
      </c>
      <c r="E34" s="34">
        <f>D34/SUM($D$34:$D$36)</f>
        <v>0.85278707537667997</v>
      </c>
      <c r="F34" s="39" t="e">
        <f>LOOKUP(E34,RANGOS!#REF!)</f>
        <v>#REF!</v>
      </c>
      <c r="G34" s="39">
        <f>LOOKUP(E34,RANGOS!$I$2:$J$101)</f>
        <v>5</v>
      </c>
    </row>
    <row r="35" spans="1:7" x14ac:dyDescent="0.3">
      <c r="A35" s="215"/>
      <c r="B35" s="205"/>
      <c r="C35" s="42" t="s">
        <v>142</v>
      </c>
      <c r="D35" s="44">
        <v>5885</v>
      </c>
      <c r="E35" s="33">
        <f>D35/SUM($D$34:$D$36)</f>
        <v>5.9872015301191336E-2</v>
      </c>
      <c r="F35" s="28" t="e">
        <f>LOOKUP(E35,RANGOS!#REF!)</f>
        <v>#REF!</v>
      </c>
      <c r="G35" s="28">
        <f>LOOKUP(E35,RANGOS!$I$2:$J$101)</f>
        <v>1</v>
      </c>
    </row>
    <row r="36" spans="1:7" x14ac:dyDescent="0.3">
      <c r="A36" s="215"/>
      <c r="B36" s="206"/>
      <c r="C36" s="29" t="s">
        <v>143</v>
      </c>
      <c r="D36" s="45">
        <v>8585</v>
      </c>
      <c r="E36" s="35">
        <f>D36/SUM($D$34:$D$36)</f>
        <v>8.7340909322128735E-2</v>
      </c>
      <c r="F36" s="40" t="e">
        <f>LOOKUP(E36,RANGOS!#REF!)</f>
        <v>#REF!</v>
      </c>
      <c r="G36" s="40">
        <f>LOOKUP(E36,RANGOS!$I$2:$J$101)</f>
        <v>2</v>
      </c>
    </row>
    <row r="37" spans="1:7" x14ac:dyDescent="0.3">
      <c r="A37" s="215"/>
      <c r="B37" s="204" t="s">
        <v>136</v>
      </c>
      <c r="C37" s="41" t="s">
        <v>141</v>
      </c>
      <c r="D37" s="43">
        <v>4774</v>
      </c>
      <c r="E37" s="34">
        <f>D37/SUM($D$37:$D$39)</f>
        <v>0.24796135667168753</v>
      </c>
      <c r="F37" s="39" t="e">
        <f>LOOKUP(E37,RANGOS!#REF!)</f>
        <v>#REF!</v>
      </c>
      <c r="G37" s="39">
        <f>LOOKUP(E37,RANGOS!$I$2:$J$101)</f>
        <v>3</v>
      </c>
    </row>
    <row r="38" spans="1:7" x14ac:dyDescent="0.3">
      <c r="A38" s="215"/>
      <c r="B38" s="205"/>
      <c r="C38" s="42" t="s">
        <v>142</v>
      </c>
      <c r="D38" s="44">
        <v>8584</v>
      </c>
      <c r="E38" s="33">
        <f>D38/SUM($D$37:$D$39)</f>
        <v>0.4458525944008726</v>
      </c>
      <c r="F38" s="28" t="e">
        <f>LOOKUP(E38,RANGOS!#REF!)</f>
        <v>#REF!</v>
      </c>
      <c r="G38" s="28">
        <f>LOOKUP(E38,RANGOS!$I$2:$J$101)</f>
        <v>3</v>
      </c>
    </row>
    <row r="39" spans="1:7" x14ac:dyDescent="0.3">
      <c r="A39" s="215"/>
      <c r="B39" s="206"/>
      <c r="C39" s="29" t="s">
        <v>143</v>
      </c>
      <c r="D39" s="45">
        <v>5895</v>
      </c>
      <c r="E39" s="35">
        <f>D39/SUM($D$37:$D$39)</f>
        <v>0.30618604892743989</v>
      </c>
      <c r="F39" s="40" t="e">
        <f>LOOKUP(E39,RANGOS!#REF!)</f>
        <v>#REF!</v>
      </c>
      <c r="G39" s="40">
        <f>LOOKUP(E39,RANGOS!$I$2:$J$101)</f>
        <v>3</v>
      </c>
    </row>
    <row r="40" spans="1:7" x14ac:dyDescent="0.3">
      <c r="A40" s="215"/>
      <c r="B40" s="210" t="s">
        <v>137</v>
      </c>
      <c r="C40" s="20" t="s">
        <v>85</v>
      </c>
      <c r="D40" s="43">
        <v>854</v>
      </c>
      <c r="E40" s="34">
        <f>D40/SUM($D$40:$D$41)</f>
        <v>8.2615845990132539E-2</v>
      </c>
      <c r="F40" s="39" t="e">
        <f>LOOKUP(E40,RANGOS!#REF!)</f>
        <v>#REF!</v>
      </c>
      <c r="G40" s="39">
        <f>LOOKUP(E40,RANGOS!$I$2:$J$101)</f>
        <v>2</v>
      </c>
    </row>
    <row r="41" spans="1:7" x14ac:dyDescent="0.3">
      <c r="A41" s="215"/>
      <c r="B41" s="212"/>
      <c r="C41" s="29" t="s">
        <v>86</v>
      </c>
      <c r="D41" s="45">
        <v>9483</v>
      </c>
      <c r="E41" s="35">
        <f>D41/SUM($D$40:$D$41)</f>
        <v>0.9173841540098675</v>
      </c>
      <c r="F41" s="40" t="e">
        <f>LOOKUP(E41,RANGOS!#REF!)</f>
        <v>#REF!</v>
      </c>
      <c r="G41" s="40">
        <f>LOOKUP(E41,RANGOS!$I$2:$J$101)</f>
        <v>5</v>
      </c>
    </row>
    <row r="42" spans="1:7" x14ac:dyDescent="0.3">
      <c r="A42" s="215"/>
      <c r="B42" s="210" t="s">
        <v>138</v>
      </c>
      <c r="C42" s="20" t="s">
        <v>87</v>
      </c>
      <c r="D42" s="43">
        <v>88</v>
      </c>
      <c r="E42" s="34">
        <f>D42/SUM($D$42:$D$45)</f>
        <v>3.2190803672678056E-3</v>
      </c>
      <c r="F42" s="39" t="e">
        <f>LOOKUP(E42,RANGOS!#REF!)</f>
        <v>#REF!</v>
      </c>
      <c r="G42" s="39">
        <f>LOOKUP(E42,RANGOS!$I$2:$J$101)</f>
        <v>1</v>
      </c>
    </row>
    <row r="43" spans="1:7" x14ac:dyDescent="0.3">
      <c r="A43" s="215"/>
      <c r="B43" s="211"/>
      <c r="C43" s="3" t="s">
        <v>88</v>
      </c>
      <c r="D43" s="44">
        <v>8484</v>
      </c>
      <c r="E43" s="33">
        <f>D43/SUM($D$42:$D$45)</f>
        <v>0.31034861177159162</v>
      </c>
      <c r="F43" s="28" t="e">
        <f>LOOKUP(E43,RANGOS!#REF!)</f>
        <v>#REF!</v>
      </c>
      <c r="G43" s="28">
        <f>LOOKUP(E43,RANGOS!$I$2:$J$101)</f>
        <v>3</v>
      </c>
    </row>
    <row r="44" spans="1:7" x14ac:dyDescent="0.3">
      <c r="A44" s="215"/>
      <c r="B44" s="211"/>
      <c r="C44" s="3" t="s">
        <v>89</v>
      </c>
      <c r="D44" s="44">
        <v>15132</v>
      </c>
      <c r="E44" s="33">
        <f>D44/SUM($D$42:$D$45)</f>
        <v>0.5535355013351867</v>
      </c>
      <c r="F44" s="28" t="e">
        <f>LOOKUP(E44,RANGOS!#REF!)</f>
        <v>#REF!</v>
      </c>
      <c r="G44" s="28">
        <f>LOOKUP(E44,RANGOS!$I$2:$J$101)</f>
        <v>4</v>
      </c>
    </row>
    <row r="45" spans="1:7" x14ac:dyDescent="0.3">
      <c r="A45" s="215"/>
      <c r="B45" s="212"/>
      <c r="C45" s="29" t="s">
        <v>90</v>
      </c>
      <c r="D45" s="45">
        <v>3633</v>
      </c>
      <c r="E45" s="35">
        <f>D45/SUM($D$42:$D$45)</f>
        <v>0.13289680652595384</v>
      </c>
      <c r="F45" s="40" t="e">
        <f>LOOKUP(E45,RANGOS!#REF!)</f>
        <v>#REF!</v>
      </c>
      <c r="G45" s="40">
        <f>LOOKUP(E45,RANGOS!$I$2:$J$101)</f>
        <v>2</v>
      </c>
    </row>
    <row r="46" spans="1:7" x14ac:dyDescent="0.3">
      <c r="A46" s="215"/>
      <c r="B46" s="211" t="s">
        <v>139</v>
      </c>
      <c r="C46" s="3" t="s">
        <v>53</v>
      </c>
      <c r="D46" s="44">
        <v>9392</v>
      </c>
      <c r="E46" s="33">
        <f>D46/SUM($D$46:$D$48)</f>
        <v>0.66285552967746486</v>
      </c>
      <c r="F46" s="28" t="e">
        <f>LOOKUP(E46,RANGOS!#REF!)</f>
        <v>#REF!</v>
      </c>
      <c r="G46" s="28">
        <f>LOOKUP(E46,RANGOS!$I$2:$J$101)</f>
        <v>4</v>
      </c>
    </row>
    <row r="47" spans="1:7" x14ac:dyDescent="0.3">
      <c r="A47" s="215"/>
      <c r="B47" s="211"/>
      <c r="C47" s="3" t="s">
        <v>211</v>
      </c>
      <c r="D47" s="44">
        <v>4444</v>
      </c>
      <c r="E47" s="33">
        <f>D47/SUM($D$46:$D$48)</f>
        <v>0.31364245888912412</v>
      </c>
      <c r="F47" s="28" t="e">
        <f>LOOKUP(E47,RANGOS!#REF!)</f>
        <v>#REF!</v>
      </c>
      <c r="G47" s="28">
        <f>LOOKUP(E47,RANGOS!$I$2:$J$101)</f>
        <v>3</v>
      </c>
    </row>
    <row r="48" spans="1:7" ht="15" thickBot="1" x14ac:dyDescent="0.35">
      <c r="A48" s="216"/>
      <c r="B48" s="218"/>
      <c r="C48" s="75" t="s">
        <v>196</v>
      </c>
      <c r="D48" s="109">
        <v>333</v>
      </c>
      <c r="E48" s="110">
        <f>D48/SUM($D$46:$D$48)</f>
        <v>2.3502011433410967E-2</v>
      </c>
      <c r="F48" s="97" t="e">
        <f>LOOKUP(E48,RANGOS!#REF!)</f>
        <v>#REF!</v>
      </c>
      <c r="G48" s="97">
        <f>LOOKUP(E48,RANGOS!$I$2:$J$101)</f>
        <v>1</v>
      </c>
    </row>
  </sheetData>
  <mergeCells count="18">
    <mergeCell ref="B26:B28"/>
    <mergeCell ref="B29:B31"/>
    <mergeCell ref="F5:G5"/>
    <mergeCell ref="B32:B33"/>
    <mergeCell ref="B40:B41"/>
    <mergeCell ref="B42:B45"/>
    <mergeCell ref="A26:A48"/>
    <mergeCell ref="B17:B19"/>
    <mergeCell ref="B34:B36"/>
    <mergeCell ref="A6:A25"/>
    <mergeCell ref="B6:B8"/>
    <mergeCell ref="B9:B11"/>
    <mergeCell ref="B12:B13"/>
    <mergeCell ref="B14:B16"/>
    <mergeCell ref="B20:B21"/>
    <mergeCell ref="B22:B25"/>
    <mergeCell ref="B46:B48"/>
    <mergeCell ref="B37:B3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Q32"/>
  <sheetViews>
    <sheetView zoomScale="110" zoomScaleNormal="110" workbookViewId="0">
      <selection activeCell="K15" sqref="K15"/>
    </sheetView>
  </sheetViews>
  <sheetFormatPr baseColWidth="10" defaultColWidth="11.44140625" defaultRowHeight="14.4" x14ac:dyDescent="0.3"/>
  <cols>
    <col min="2" max="2" width="7" customWidth="1"/>
    <col min="3" max="3" width="13.5546875" customWidth="1"/>
    <col min="4" max="4" width="6.44140625" customWidth="1"/>
    <col min="5" max="5" width="9.5546875" customWidth="1"/>
    <col min="6" max="6" width="4.88671875" customWidth="1"/>
    <col min="7" max="7" width="9.5546875" customWidth="1"/>
    <col min="8" max="8" width="5.88671875" customWidth="1"/>
    <col min="10" max="10" width="3.88671875" customWidth="1"/>
    <col min="11" max="11" width="6.109375" customWidth="1"/>
    <col min="12" max="12" width="21.44140625" customWidth="1"/>
    <col min="13" max="13" width="10.44140625" customWidth="1"/>
    <col min="14" max="14" width="6" customWidth="1"/>
    <col min="15" max="15" width="10.33203125" customWidth="1"/>
    <col min="16" max="16" width="5.5546875" customWidth="1"/>
    <col min="17" max="17" width="8.33203125" customWidth="1"/>
  </cols>
  <sheetData>
    <row r="1" spans="1:17" ht="20.399999999999999" x14ac:dyDescent="0.35">
      <c r="A1" s="115" t="s">
        <v>185</v>
      </c>
    </row>
    <row r="3" spans="1:17" ht="27" customHeight="1" thickBot="1" x14ac:dyDescent="0.35">
      <c r="A3" s="144" t="s">
        <v>0</v>
      </c>
      <c r="B3" s="144"/>
      <c r="C3" s="120" t="s">
        <v>1</v>
      </c>
      <c r="D3" s="120"/>
      <c r="E3" s="144" t="s">
        <v>13</v>
      </c>
      <c r="F3" s="144"/>
      <c r="G3" s="144" t="s">
        <v>16</v>
      </c>
      <c r="H3" s="144"/>
      <c r="I3" s="145" t="s">
        <v>29</v>
      </c>
      <c r="J3" s="145"/>
      <c r="K3" s="114" t="s">
        <v>122</v>
      </c>
      <c r="L3" s="118" t="s">
        <v>173</v>
      </c>
      <c r="M3" s="152" t="s">
        <v>157</v>
      </c>
      <c r="N3" s="152"/>
      <c r="O3" s="152" t="s">
        <v>147</v>
      </c>
      <c r="P3" s="152"/>
      <c r="Q3" s="114" t="s">
        <v>122</v>
      </c>
    </row>
    <row r="4" spans="1:17" x14ac:dyDescent="0.3">
      <c r="A4" s="146" t="s">
        <v>118</v>
      </c>
      <c r="B4" s="148">
        <v>0.7</v>
      </c>
      <c r="C4" s="87" t="s">
        <v>96</v>
      </c>
      <c r="D4" s="52">
        <v>4.9180327868852458E-2</v>
      </c>
      <c r="E4" s="27" t="str">
        <f>LOOKUP(F4,RANGOS!$A$2:$B$6)</f>
        <v xml:space="preserve">Muy baja </v>
      </c>
      <c r="F4" s="47">
        <v>1</v>
      </c>
      <c r="G4" s="27" t="str">
        <f>LOOKUP(H4,RANGOS!$A$9:$B$13)</f>
        <v xml:space="preserve">Muy bajo </v>
      </c>
      <c r="H4" s="51">
        <f>'Data ZG'!G6</f>
        <v>1</v>
      </c>
      <c r="I4" s="27" t="str">
        <f>LOOKUP(J4,RANGOS!$F$2:$G$26)</f>
        <v xml:space="preserve">MUY BAJO </v>
      </c>
      <c r="J4" s="27">
        <f>F4*H4</f>
        <v>1</v>
      </c>
      <c r="K4" s="73">
        <f>$B$4*D4*J4</f>
        <v>3.4426229508196717E-2</v>
      </c>
      <c r="L4" s="153"/>
      <c r="M4" s="149" t="str">
        <f>LOOKUP(N4,RANGOS!A16:B20)</f>
        <v xml:space="preserve">Muy bajo </v>
      </c>
      <c r="N4" s="149">
        <v>1</v>
      </c>
      <c r="O4" s="27" t="str">
        <f>LOOKUP(P4,RANGOS!$F$2:$G$26)</f>
        <v xml:space="preserve">MUY BAJO </v>
      </c>
      <c r="P4" s="27">
        <f>J4/$N$4</f>
        <v>1</v>
      </c>
      <c r="Q4" s="73">
        <f t="shared" ref="Q4:Q27" si="0">$B$4*D4*P4</f>
        <v>3.4426229508196717E-2</v>
      </c>
    </row>
    <row r="5" spans="1:17" x14ac:dyDescent="0.3">
      <c r="A5" s="146"/>
      <c r="B5" s="149"/>
      <c r="C5" s="86" t="s">
        <v>97</v>
      </c>
      <c r="D5" s="52">
        <v>1.6393442622950821E-2</v>
      </c>
      <c r="E5" s="27" t="str">
        <f>LOOKUP(F5,RANGOS!$A$2:$B$6)</f>
        <v xml:space="preserve">Muy baja </v>
      </c>
      <c r="F5" s="47">
        <v>1</v>
      </c>
      <c r="G5" s="27" t="str">
        <f>LOOKUP(H5,RANGOS!$A$9:$B$13)</f>
        <v xml:space="preserve">Muy bajo </v>
      </c>
      <c r="H5" s="51">
        <f>'Data ZG'!G7</f>
        <v>1</v>
      </c>
      <c r="I5" s="27" t="str">
        <f>LOOKUP(J5,RANGOS!$F$2:$G$26)</f>
        <v xml:space="preserve">MUY BAJO </v>
      </c>
      <c r="J5" s="27">
        <f t="shared" ref="J5:J31" si="1">F5*H5</f>
        <v>1</v>
      </c>
      <c r="K5" s="73">
        <f>$B$4*D5*J5</f>
        <v>1.1475409836065573E-2</v>
      </c>
      <c r="L5" s="154"/>
      <c r="M5" s="149"/>
      <c r="N5" s="149"/>
      <c r="O5" s="27" t="str">
        <f>LOOKUP(P5,RANGOS!$F$2:$G$26)</f>
        <v xml:space="preserve">MUY BAJO </v>
      </c>
      <c r="P5" s="27">
        <f>J5/$N$4</f>
        <v>1</v>
      </c>
      <c r="Q5" s="73">
        <f t="shared" si="0"/>
        <v>1.1475409836065573E-2</v>
      </c>
    </row>
    <row r="6" spans="1:17" x14ac:dyDescent="0.3">
      <c r="A6" s="146"/>
      <c r="B6" s="149"/>
      <c r="C6" s="87" t="s">
        <v>162</v>
      </c>
      <c r="D6" s="52">
        <v>1.6393442622950821E-2</v>
      </c>
      <c r="E6" s="27" t="str">
        <f>LOOKUP(F6,RANGOS!$A$2:$B$6)</f>
        <v xml:space="preserve">Muy baja </v>
      </c>
      <c r="F6" s="47">
        <v>1</v>
      </c>
      <c r="G6" s="27" t="str">
        <f>LOOKUP(H6,RANGOS!$A$9:$B$13)</f>
        <v xml:space="preserve">Muy bajo </v>
      </c>
      <c r="H6" s="51">
        <f>'Data ZG'!G8</f>
        <v>1</v>
      </c>
      <c r="I6" s="27" t="str">
        <f>LOOKUP(J6,RANGOS!$F$2:$G$26)</f>
        <v xml:space="preserve">MUY BAJO </v>
      </c>
      <c r="J6" s="27">
        <f t="shared" si="1"/>
        <v>1</v>
      </c>
      <c r="K6" s="73">
        <f t="shared" ref="K6:K27" si="2">$B$4*D6*J6</f>
        <v>1.1475409836065573E-2</v>
      </c>
      <c r="L6" s="154"/>
      <c r="M6" s="149"/>
      <c r="N6" s="149"/>
      <c r="O6" s="27" t="str">
        <f>LOOKUP(P6,RANGOS!$F$2:$G$26)</f>
        <v xml:space="preserve">MUY BAJO </v>
      </c>
      <c r="P6" s="27">
        <f t="shared" ref="P6:P28" si="3">J6/$N$4</f>
        <v>1</v>
      </c>
      <c r="Q6" s="73">
        <f t="shared" si="0"/>
        <v>1.1475409836065573E-2</v>
      </c>
    </row>
    <row r="7" spans="1:17" x14ac:dyDescent="0.3">
      <c r="A7" s="146"/>
      <c r="B7" s="149"/>
      <c r="C7" s="132" t="s">
        <v>99</v>
      </c>
      <c r="D7" s="52">
        <v>1.6393442622950821E-2</v>
      </c>
      <c r="E7" s="27" t="str">
        <f>LOOKUP(F7,RANGOS!$A$2:$B$6)</f>
        <v xml:space="preserve">Alta </v>
      </c>
      <c r="F7" s="47">
        <v>4</v>
      </c>
      <c r="G7" s="27" t="str">
        <f>LOOKUP(H7,RANGOS!$A$9:$B$13)</f>
        <v xml:space="preserve">Muy bajo </v>
      </c>
      <c r="H7" s="51">
        <f>'Data ZG'!G9</f>
        <v>1</v>
      </c>
      <c r="I7" s="27" t="str">
        <f>LOOKUP(J7,RANGOS!$F$2:$G$26)</f>
        <v>BAJO</v>
      </c>
      <c r="J7" s="27">
        <f t="shared" si="1"/>
        <v>4</v>
      </c>
      <c r="K7" s="73">
        <f t="shared" si="2"/>
        <v>4.5901639344262293E-2</v>
      </c>
      <c r="L7" s="154"/>
      <c r="M7" s="149"/>
      <c r="N7" s="149"/>
      <c r="O7" s="27" t="str">
        <f>LOOKUP(P7,RANGOS!$F$2:$G$26)</f>
        <v>BAJO</v>
      </c>
      <c r="P7" s="27">
        <f t="shared" si="3"/>
        <v>4</v>
      </c>
      <c r="Q7" s="73">
        <f t="shared" si="0"/>
        <v>4.5901639344262293E-2</v>
      </c>
    </row>
    <row r="8" spans="1:17" x14ac:dyDescent="0.3">
      <c r="A8" s="146"/>
      <c r="B8" s="149"/>
      <c r="C8" s="87" t="s">
        <v>100</v>
      </c>
      <c r="D8" s="52">
        <v>6.5573770491803282E-2</v>
      </c>
      <c r="E8" s="27" t="str">
        <f>LOOKUP(F8,RANGOS!$A$2:$B$6)</f>
        <v xml:space="preserve">Muy baja </v>
      </c>
      <c r="F8" s="47">
        <v>1</v>
      </c>
      <c r="G8" s="27" t="str">
        <f>LOOKUP(H8,RANGOS!$A$9:$B$13)</f>
        <v xml:space="preserve">Muy bajo </v>
      </c>
      <c r="H8" s="51">
        <f>'Data ZG'!G10</f>
        <v>1</v>
      </c>
      <c r="I8" s="27" t="str">
        <f>LOOKUP(J8,RANGOS!$F$2:$G$26)</f>
        <v xml:space="preserve">MUY BAJO </v>
      </c>
      <c r="J8" s="27">
        <f t="shared" si="1"/>
        <v>1</v>
      </c>
      <c r="K8" s="73">
        <f t="shared" si="2"/>
        <v>4.5901639344262293E-2</v>
      </c>
      <c r="L8" s="154"/>
      <c r="M8" s="149"/>
      <c r="N8" s="149"/>
      <c r="O8" s="27" t="str">
        <f>LOOKUP(P8,RANGOS!$F$2:$G$26)</f>
        <v xml:space="preserve">MUY BAJO </v>
      </c>
      <c r="P8" s="27">
        <f t="shared" si="3"/>
        <v>1</v>
      </c>
      <c r="Q8" s="89">
        <f t="shared" si="0"/>
        <v>4.5901639344262293E-2</v>
      </c>
    </row>
    <row r="9" spans="1:17" x14ac:dyDescent="0.3">
      <c r="A9" s="146"/>
      <c r="B9" s="149"/>
      <c r="C9" s="87" t="s">
        <v>101</v>
      </c>
      <c r="D9" s="52">
        <v>4.9180327868852458E-2</v>
      </c>
      <c r="E9" s="27" t="str">
        <f>LOOKUP(F9,RANGOS!$A$2:$B$6)</f>
        <v xml:space="preserve">Muy baja </v>
      </c>
      <c r="F9" s="47">
        <v>1</v>
      </c>
      <c r="G9" s="27" t="str">
        <f>LOOKUP(H9,RANGOS!$A$9:$B$13)</f>
        <v xml:space="preserve">Muy bajo </v>
      </c>
      <c r="H9" s="51">
        <f>'Data ZG'!G11</f>
        <v>1</v>
      </c>
      <c r="I9" s="27" t="str">
        <f>LOOKUP(J9,RANGOS!$F$2:$G$26)</f>
        <v xml:space="preserve">MUY BAJO </v>
      </c>
      <c r="J9" s="27">
        <f t="shared" si="1"/>
        <v>1</v>
      </c>
      <c r="K9" s="73">
        <f t="shared" si="2"/>
        <v>3.4426229508196717E-2</v>
      </c>
      <c r="L9" s="154"/>
      <c r="M9" s="149"/>
      <c r="N9" s="149"/>
      <c r="O9" s="27" t="str">
        <f>LOOKUP(P9,RANGOS!$F$2:$G$26)</f>
        <v xml:space="preserve">MUY BAJO </v>
      </c>
      <c r="P9" s="27">
        <f t="shared" si="3"/>
        <v>1</v>
      </c>
      <c r="Q9" s="73">
        <f t="shared" si="0"/>
        <v>3.4426229508196717E-2</v>
      </c>
    </row>
    <row r="10" spans="1:17" x14ac:dyDescent="0.3">
      <c r="A10" s="146"/>
      <c r="B10" s="149"/>
      <c r="C10" s="87" t="s">
        <v>102</v>
      </c>
      <c r="D10" s="52">
        <v>4.9180327868852458E-2</v>
      </c>
      <c r="E10" s="27" t="str">
        <f>LOOKUP(F10,RANGOS!$A$2:$B$6)</f>
        <v xml:space="preserve">Muy baja </v>
      </c>
      <c r="F10" s="47">
        <v>1</v>
      </c>
      <c r="G10" s="27" t="str">
        <f>LOOKUP(H10,RANGOS!$A$9:$B$13)</f>
        <v xml:space="preserve">Muy bajo </v>
      </c>
      <c r="H10" s="51">
        <f>'Data ZG'!G12</f>
        <v>1</v>
      </c>
      <c r="I10" s="27" t="str">
        <f>LOOKUP(J10,RANGOS!$F$2:$G$26)</f>
        <v xml:space="preserve">MUY BAJO </v>
      </c>
      <c r="J10" s="27">
        <f t="shared" si="1"/>
        <v>1</v>
      </c>
      <c r="K10" s="73">
        <f t="shared" si="2"/>
        <v>3.4426229508196717E-2</v>
      </c>
      <c r="L10" s="154"/>
      <c r="M10" s="149"/>
      <c r="N10" s="149"/>
      <c r="O10" s="27" t="str">
        <f>LOOKUP(P10,RANGOS!$F$2:$G$26)</f>
        <v xml:space="preserve">MUY BAJO </v>
      </c>
      <c r="P10" s="27">
        <f t="shared" si="3"/>
        <v>1</v>
      </c>
      <c r="Q10" s="73">
        <f t="shared" si="0"/>
        <v>3.4426229508196717E-2</v>
      </c>
    </row>
    <row r="11" spans="1:17" x14ac:dyDescent="0.3">
      <c r="A11" s="146"/>
      <c r="B11" s="149"/>
      <c r="C11" s="87" t="s">
        <v>103</v>
      </c>
      <c r="D11" s="52">
        <v>3.2786885245901641E-2</v>
      </c>
      <c r="E11" s="27" t="str">
        <f>LOOKUP(F11,RANGOS!$A$2:$B$6)</f>
        <v xml:space="preserve">Muy baja </v>
      </c>
      <c r="F11" s="47">
        <v>1</v>
      </c>
      <c r="G11" s="27" t="str">
        <f>LOOKUP(H11,RANGOS!$A$9:$B$13)</f>
        <v xml:space="preserve">Muy bajo </v>
      </c>
      <c r="H11" s="51">
        <f>'Data ZG'!G13</f>
        <v>1</v>
      </c>
      <c r="I11" s="27" t="str">
        <f>LOOKUP(J11,RANGOS!$F$2:$G$26)</f>
        <v xml:space="preserve">MUY BAJO </v>
      </c>
      <c r="J11" s="27">
        <f t="shared" si="1"/>
        <v>1</v>
      </c>
      <c r="K11" s="73">
        <f t="shared" si="2"/>
        <v>2.2950819672131147E-2</v>
      </c>
      <c r="L11" s="154"/>
      <c r="M11" s="149"/>
      <c r="N11" s="149"/>
      <c r="O11" s="27" t="str">
        <f>LOOKUP(P11,RANGOS!$F$2:$G$26)</f>
        <v xml:space="preserve">MUY BAJO </v>
      </c>
      <c r="P11" s="27">
        <f t="shared" si="3"/>
        <v>1</v>
      </c>
      <c r="Q11" s="73">
        <f t="shared" si="0"/>
        <v>2.2950819672131147E-2</v>
      </c>
    </row>
    <row r="12" spans="1:17" x14ac:dyDescent="0.3">
      <c r="A12" s="146"/>
      <c r="B12" s="149"/>
      <c r="C12" s="86" t="s">
        <v>104</v>
      </c>
      <c r="D12" s="52">
        <v>3.2786885245901641E-2</v>
      </c>
      <c r="E12" s="27" t="str">
        <f>LOOKUP(F12,RANGOS!$A$2:$B$6)</f>
        <v xml:space="preserve">Muy baja </v>
      </c>
      <c r="F12" s="47">
        <v>1</v>
      </c>
      <c r="G12" s="27" t="str">
        <f>LOOKUP(H12,RANGOS!$A$9:$B$13)</f>
        <v xml:space="preserve">Muy bajo </v>
      </c>
      <c r="H12" s="51">
        <f>'Data ZG'!G14</f>
        <v>1</v>
      </c>
      <c r="I12" s="27" t="str">
        <f>LOOKUP(J12,RANGOS!$F$2:$G$26)</f>
        <v xml:space="preserve">MUY BAJO </v>
      </c>
      <c r="J12" s="27">
        <f t="shared" si="1"/>
        <v>1</v>
      </c>
      <c r="K12" s="73">
        <f t="shared" si="2"/>
        <v>2.2950819672131147E-2</v>
      </c>
      <c r="L12" s="154"/>
      <c r="M12" s="149"/>
      <c r="N12" s="149"/>
      <c r="O12" s="27" t="str">
        <f>LOOKUP(P12,RANGOS!$F$2:$G$26)</f>
        <v xml:space="preserve">MUY BAJO </v>
      </c>
      <c r="P12" s="27">
        <f t="shared" si="3"/>
        <v>1</v>
      </c>
      <c r="Q12" s="73">
        <f t="shared" si="0"/>
        <v>2.2950819672131147E-2</v>
      </c>
    </row>
    <row r="13" spans="1:17" x14ac:dyDescent="0.3">
      <c r="A13" s="146"/>
      <c r="B13" s="149"/>
      <c r="C13" s="86" t="s">
        <v>105</v>
      </c>
      <c r="D13" s="52">
        <v>1.6393442622950821E-2</v>
      </c>
      <c r="E13" s="27" t="str">
        <f>LOOKUP(F13,RANGOS!$A$2:$B$6)</f>
        <v xml:space="preserve">Muy baja </v>
      </c>
      <c r="F13" s="47">
        <v>1</v>
      </c>
      <c r="G13" s="27" t="str">
        <f>LOOKUP(H13,RANGOS!$A$9:$B$13)</f>
        <v xml:space="preserve">Muy bajo </v>
      </c>
      <c r="H13" s="51">
        <f>'Data ZG'!G15</f>
        <v>1</v>
      </c>
      <c r="I13" s="27" t="str">
        <f>LOOKUP(J13,RANGOS!$F$2:$G$26)</f>
        <v xml:space="preserve">MUY BAJO </v>
      </c>
      <c r="J13" s="27">
        <f t="shared" si="1"/>
        <v>1</v>
      </c>
      <c r="K13" s="73">
        <f t="shared" si="2"/>
        <v>1.1475409836065573E-2</v>
      </c>
      <c r="L13" s="154"/>
      <c r="M13" s="149"/>
      <c r="N13" s="149"/>
      <c r="O13" s="27" t="str">
        <f>LOOKUP(P13,RANGOS!$F$2:$G$26)</f>
        <v xml:space="preserve">MUY BAJO </v>
      </c>
      <c r="P13" s="27">
        <f t="shared" si="3"/>
        <v>1</v>
      </c>
      <c r="Q13" s="73">
        <f t="shared" si="0"/>
        <v>1.1475409836065573E-2</v>
      </c>
    </row>
    <row r="14" spans="1:17" x14ac:dyDescent="0.3">
      <c r="A14" s="146"/>
      <c r="B14" s="149"/>
      <c r="C14" s="86" t="s">
        <v>106</v>
      </c>
      <c r="D14" s="52">
        <v>4.9180327868852458E-2</v>
      </c>
      <c r="E14" s="27" t="str">
        <f>LOOKUP(F14,RANGOS!$A$2:$B$6)</f>
        <v xml:space="preserve">Muy baja </v>
      </c>
      <c r="F14" s="47">
        <v>1</v>
      </c>
      <c r="G14" s="27" t="str">
        <f>LOOKUP(H14,RANGOS!$A$9:$B$13)</f>
        <v xml:space="preserve">Muy bajo </v>
      </c>
      <c r="H14" s="51">
        <f>'Data ZG'!G16</f>
        <v>1</v>
      </c>
      <c r="I14" s="27" t="str">
        <f>LOOKUP(J14,RANGOS!$F$2:$G$26)</f>
        <v xml:space="preserve">MUY BAJO </v>
      </c>
      <c r="J14" s="27">
        <f t="shared" si="1"/>
        <v>1</v>
      </c>
      <c r="K14" s="73">
        <f t="shared" si="2"/>
        <v>3.4426229508196717E-2</v>
      </c>
      <c r="L14" s="154"/>
      <c r="M14" s="149"/>
      <c r="N14" s="149"/>
      <c r="O14" s="27" t="str">
        <f>LOOKUP(P14,RANGOS!$F$2:$G$26)</f>
        <v xml:space="preserve">MUY BAJO </v>
      </c>
      <c r="P14" s="27">
        <f t="shared" si="3"/>
        <v>1</v>
      </c>
      <c r="Q14" s="73">
        <f t="shared" si="0"/>
        <v>3.4426229508196717E-2</v>
      </c>
    </row>
    <row r="15" spans="1:17" x14ac:dyDescent="0.3">
      <c r="A15" s="146"/>
      <c r="B15" s="149"/>
      <c r="C15" s="133" t="s">
        <v>107</v>
      </c>
      <c r="D15" s="52">
        <v>4.9180327868852458E-2</v>
      </c>
      <c r="E15" s="27" t="str">
        <f>LOOKUP(F15,RANGOS!$A$2:$B$6)</f>
        <v xml:space="preserve">Alta </v>
      </c>
      <c r="F15" s="47">
        <v>4</v>
      </c>
      <c r="G15" s="27" t="str">
        <f>LOOKUP(H15,RANGOS!$A$9:$B$13)</f>
        <v xml:space="preserve">Bajo </v>
      </c>
      <c r="H15" s="51">
        <f>'Data ZG'!G17</f>
        <v>2</v>
      </c>
      <c r="I15" s="27" t="str">
        <f>LOOKUP(J15,RANGOS!$F$2:$G$26)</f>
        <v xml:space="preserve">MEDIO </v>
      </c>
      <c r="J15" s="27">
        <f t="shared" si="1"/>
        <v>8</v>
      </c>
      <c r="K15" s="73">
        <f t="shared" si="2"/>
        <v>0.27540983606557373</v>
      </c>
      <c r="L15" s="154"/>
      <c r="M15" s="149"/>
      <c r="N15" s="149"/>
      <c r="O15" s="27" t="str">
        <f>LOOKUP(P15,RANGOS!$F$2:$G$26)</f>
        <v xml:space="preserve">MEDIO </v>
      </c>
      <c r="P15" s="27">
        <f t="shared" si="3"/>
        <v>8</v>
      </c>
      <c r="Q15" s="73">
        <f t="shared" si="0"/>
        <v>0.27540983606557373</v>
      </c>
    </row>
    <row r="16" spans="1:17" x14ac:dyDescent="0.3">
      <c r="A16" s="146"/>
      <c r="B16" s="149"/>
      <c r="C16" s="133" t="s">
        <v>108</v>
      </c>
      <c r="D16" s="52">
        <v>1.6393442622950821E-2</v>
      </c>
      <c r="E16" s="27" t="str">
        <f>LOOKUP(F16,RANGOS!$A$2:$B$6)</f>
        <v xml:space="preserve">Alta </v>
      </c>
      <c r="F16" s="47">
        <v>4</v>
      </c>
      <c r="G16" s="27" t="str">
        <f>LOOKUP(H16,RANGOS!$A$9:$B$13)</f>
        <v xml:space="preserve">Muy bajo </v>
      </c>
      <c r="H16" s="51">
        <f>'Data ZG'!G18</f>
        <v>1</v>
      </c>
      <c r="I16" s="27" t="str">
        <f>LOOKUP(J16,RANGOS!$F$2:$G$26)</f>
        <v>BAJO</v>
      </c>
      <c r="J16" s="27">
        <f t="shared" si="1"/>
        <v>4</v>
      </c>
      <c r="K16" s="73">
        <f t="shared" si="2"/>
        <v>4.5901639344262293E-2</v>
      </c>
      <c r="L16" s="154"/>
      <c r="M16" s="149"/>
      <c r="N16" s="149"/>
      <c r="O16" s="27" t="str">
        <f>LOOKUP(P16,RANGOS!$F$2:$G$26)</f>
        <v>BAJO</v>
      </c>
      <c r="P16" s="27">
        <f t="shared" si="3"/>
        <v>4</v>
      </c>
      <c r="Q16" s="73">
        <f t="shared" si="0"/>
        <v>4.5901639344262293E-2</v>
      </c>
    </row>
    <row r="17" spans="1:17" x14ac:dyDescent="0.3">
      <c r="A17" s="146"/>
      <c r="B17" s="149"/>
      <c r="C17" s="133" t="s">
        <v>53</v>
      </c>
      <c r="D17" s="52">
        <v>3.2786885245901641E-2</v>
      </c>
      <c r="E17" s="27" t="str">
        <f>LOOKUP(F17,RANGOS!$A$2:$B$6)</f>
        <v xml:space="preserve">Muy alta </v>
      </c>
      <c r="F17" s="47">
        <v>5</v>
      </c>
      <c r="G17" s="27" t="str">
        <f>LOOKUP(H17,RANGOS!$A$9:$B$13)</f>
        <v xml:space="preserve">Muy alto </v>
      </c>
      <c r="H17" s="51">
        <f>'Data ZG'!G19</f>
        <v>5</v>
      </c>
      <c r="I17" s="27" t="str">
        <f>LOOKUP(J17,RANGOS!$F$2:$G$26)</f>
        <v xml:space="preserve">MUY ALTO </v>
      </c>
      <c r="J17" s="27">
        <f t="shared" si="1"/>
        <v>25</v>
      </c>
      <c r="K17" s="73">
        <f t="shared" si="2"/>
        <v>0.57377049180327866</v>
      </c>
      <c r="L17" s="154"/>
      <c r="M17" s="149"/>
      <c r="N17" s="149"/>
      <c r="O17" s="27" t="str">
        <f>LOOKUP(P17,RANGOS!$F$2:$G$26)</f>
        <v xml:space="preserve">MUY ALTO </v>
      </c>
      <c r="P17" s="27">
        <f t="shared" si="3"/>
        <v>25</v>
      </c>
      <c r="Q17" s="73">
        <f t="shared" si="0"/>
        <v>0.57377049180327866</v>
      </c>
    </row>
    <row r="18" spans="1:17" x14ac:dyDescent="0.3">
      <c r="A18" s="146"/>
      <c r="B18" s="149"/>
      <c r="C18" s="86" t="s">
        <v>109</v>
      </c>
      <c r="D18" s="52">
        <v>6.5573770491803282E-2</v>
      </c>
      <c r="E18" s="27" t="str">
        <f>LOOKUP(F18,RANGOS!$A$2:$B$6)</f>
        <v xml:space="preserve">Muy baja </v>
      </c>
      <c r="F18" s="47">
        <v>1</v>
      </c>
      <c r="G18" s="27" t="str">
        <f>LOOKUP(H18,RANGOS!$A$9:$B$13)</f>
        <v xml:space="preserve">Muy bajo </v>
      </c>
      <c r="H18" s="51">
        <f>'Data ZG'!G20</f>
        <v>1</v>
      </c>
      <c r="I18" s="27" t="str">
        <f>LOOKUP(J18,RANGOS!$F$2:$G$26)</f>
        <v xml:space="preserve">MUY BAJO </v>
      </c>
      <c r="J18" s="27">
        <f t="shared" si="1"/>
        <v>1</v>
      </c>
      <c r="K18" s="73">
        <f t="shared" si="2"/>
        <v>4.5901639344262293E-2</v>
      </c>
      <c r="L18" s="154"/>
      <c r="M18" s="149"/>
      <c r="N18" s="149"/>
      <c r="O18" s="27" t="str">
        <f>LOOKUP(P18,RANGOS!$F$2:$G$26)</f>
        <v xml:space="preserve">MUY BAJO </v>
      </c>
      <c r="P18" s="27">
        <f t="shared" si="3"/>
        <v>1</v>
      </c>
      <c r="Q18" s="73">
        <f t="shared" si="0"/>
        <v>4.5901639344262293E-2</v>
      </c>
    </row>
    <row r="19" spans="1:17" x14ac:dyDescent="0.3">
      <c r="A19" s="146"/>
      <c r="B19" s="149"/>
      <c r="C19" s="87" t="s">
        <v>110</v>
      </c>
      <c r="D19" s="52">
        <v>6.5573770491803282E-2</v>
      </c>
      <c r="E19" s="27" t="str">
        <f>LOOKUP(F19,RANGOS!$A$2:$B$6)</f>
        <v xml:space="preserve">Muy baja </v>
      </c>
      <c r="F19" s="47">
        <v>1</v>
      </c>
      <c r="G19" s="27" t="str">
        <f>LOOKUP(H19,RANGOS!$A$9:$B$13)</f>
        <v xml:space="preserve">Muy bajo </v>
      </c>
      <c r="H19" s="51">
        <f>'Data ZG'!G21</f>
        <v>1</v>
      </c>
      <c r="I19" s="27" t="str">
        <f>LOOKUP(J19,RANGOS!$F$2:$G$26)</f>
        <v xml:space="preserve">MUY BAJO </v>
      </c>
      <c r="J19" s="27">
        <f t="shared" si="1"/>
        <v>1</v>
      </c>
      <c r="K19" s="73">
        <f t="shared" si="2"/>
        <v>4.5901639344262293E-2</v>
      </c>
      <c r="L19" s="154"/>
      <c r="M19" s="149"/>
      <c r="N19" s="149"/>
      <c r="O19" s="27" t="str">
        <f>LOOKUP(P19,RANGOS!$F$2:$G$26)</f>
        <v xml:space="preserve">MUY BAJO </v>
      </c>
      <c r="P19" s="27">
        <f t="shared" si="3"/>
        <v>1</v>
      </c>
      <c r="Q19" s="73">
        <f t="shared" si="0"/>
        <v>4.5901639344262293E-2</v>
      </c>
    </row>
    <row r="20" spans="1:17" x14ac:dyDescent="0.3">
      <c r="A20" s="146"/>
      <c r="B20" s="149"/>
      <c r="C20" s="86" t="s">
        <v>111</v>
      </c>
      <c r="D20" s="52">
        <v>1.6393442622950821E-2</v>
      </c>
      <c r="E20" s="27" t="s">
        <v>22</v>
      </c>
      <c r="F20" s="47">
        <v>1</v>
      </c>
      <c r="G20" s="27" t="str">
        <f>LOOKUP(H20,RANGOS!$A$9:$B$13)</f>
        <v xml:space="preserve">Muy bajo </v>
      </c>
      <c r="H20" s="51">
        <f>'Data ZG'!G22</f>
        <v>1</v>
      </c>
      <c r="I20" s="27" t="str">
        <f>LOOKUP(J20,RANGOS!$F$2:$G$26)</f>
        <v xml:space="preserve">MUY BAJO </v>
      </c>
      <c r="J20" s="27">
        <f t="shared" si="1"/>
        <v>1</v>
      </c>
      <c r="K20" s="73">
        <f t="shared" si="2"/>
        <v>1.1475409836065573E-2</v>
      </c>
      <c r="L20" s="154"/>
      <c r="M20" s="149"/>
      <c r="N20" s="149"/>
      <c r="O20" s="27" t="str">
        <f>LOOKUP(P20,RANGOS!$F$2:$G$26)</f>
        <v xml:space="preserve">MUY BAJO </v>
      </c>
      <c r="P20" s="27">
        <f t="shared" si="3"/>
        <v>1</v>
      </c>
      <c r="Q20" s="73">
        <f t="shared" si="0"/>
        <v>1.1475409836065573E-2</v>
      </c>
    </row>
    <row r="21" spans="1:17" x14ac:dyDescent="0.3">
      <c r="A21" s="146"/>
      <c r="B21" s="149"/>
      <c r="C21" s="86" t="s">
        <v>112</v>
      </c>
      <c r="D21" s="52">
        <v>3.2786885245901641E-2</v>
      </c>
      <c r="E21" s="27" t="str">
        <f>LOOKUP(F21,RANGOS!$A$2:$B$6)</f>
        <v xml:space="preserve">Muy baja </v>
      </c>
      <c r="F21" s="47">
        <v>1</v>
      </c>
      <c r="G21" s="27" t="str">
        <f>LOOKUP(H21,RANGOS!$A$9:$B$13)</f>
        <v xml:space="preserve">Muy bajo </v>
      </c>
      <c r="H21" s="51">
        <f>'Data ZG'!G23</f>
        <v>1</v>
      </c>
      <c r="I21" s="27" t="str">
        <f>LOOKUP(J21,RANGOS!$F$2:$G$26)</f>
        <v xml:space="preserve">MUY BAJO </v>
      </c>
      <c r="J21" s="27">
        <f t="shared" si="1"/>
        <v>1</v>
      </c>
      <c r="K21" s="73">
        <f t="shared" si="2"/>
        <v>2.2950819672131147E-2</v>
      </c>
      <c r="L21" s="154"/>
      <c r="M21" s="149"/>
      <c r="N21" s="149"/>
      <c r="O21" s="27" t="str">
        <f>LOOKUP(P21,RANGOS!$F$2:$G$26)</f>
        <v xml:space="preserve">MUY BAJO </v>
      </c>
      <c r="P21" s="27">
        <f t="shared" si="3"/>
        <v>1</v>
      </c>
      <c r="Q21" s="73">
        <f t="shared" si="0"/>
        <v>2.2950819672131147E-2</v>
      </c>
    </row>
    <row r="22" spans="1:17" x14ac:dyDescent="0.3">
      <c r="A22" s="146"/>
      <c r="B22" s="149"/>
      <c r="C22" s="133" t="s">
        <v>54</v>
      </c>
      <c r="D22" s="52">
        <v>4.9180327868852458E-2</v>
      </c>
      <c r="E22" s="27" t="str">
        <f>LOOKUP(F22,RANGOS!$A$2:$B$6)</f>
        <v xml:space="preserve">Alta </v>
      </c>
      <c r="F22" s="47">
        <v>4</v>
      </c>
      <c r="G22" s="27" t="str">
        <f>LOOKUP(H22,RANGOS!$A$9:$B$13)</f>
        <v xml:space="preserve">Bajo </v>
      </c>
      <c r="H22" s="51">
        <f>'Data ZG'!G24</f>
        <v>2</v>
      </c>
      <c r="I22" s="27" t="str">
        <f>LOOKUP(J22,RANGOS!$F$2:$G$26)</f>
        <v xml:space="preserve">MEDIO </v>
      </c>
      <c r="J22" s="27">
        <f t="shared" si="1"/>
        <v>8</v>
      </c>
      <c r="K22" s="73">
        <f t="shared" si="2"/>
        <v>0.27540983606557373</v>
      </c>
      <c r="L22" s="154"/>
      <c r="M22" s="149"/>
      <c r="N22" s="149"/>
      <c r="O22" s="27" t="str">
        <f>LOOKUP(P22,RANGOS!$F$2:$G$26)</f>
        <v xml:space="preserve">MEDIO </v>
      </c>
      <c r="P22" s="27">
        <f t="shared" si="3"/>
        <v>8</v>
      </c>
      <c r="Q22" s="73">
        <f t="shared" si="0"/>
        <v>0.27540983606557373</v>
      </c>
    </row>
    <row r="23" spans="1:17" x14ac:dyDescent="0.3">
      <c r="A23" s="146"/>
      <c r="B23" s="149"/>
      <c r="C23" s="86" t="s">
        <v>113</v>
      </c>
      <c r="D23" s="52">
        <v>8.1967213114754092E-2</v>
      </c>
      <c r="E23" s="27" t="str">
        <f>LOOKUP(F23,RANGOS!$A$2:$B$6)</f>
        <v xml:space="preserve">Muy baja </v>
      </c>
      <c r="F23" s="47">
        <v>1</v>
      </c>
      <c r="G23" s="27" t="str">
        <f>LOOKUP(H23,RANGOS!$A$9:$B$13)</f>
        <v xml:space="preserve">Muy bajo </v>
      </c>
      <c r="H23" s="51">
        <f>'Data ZG'!G25</f>
        <v>1</v>
      </c>
      <c r="I23" s="27" t="str">
        <f>LOOKUP(J23,RANGOS!$F$2:$G$26)</f>
        <v xml:space="preserve">MUY BAJO </v>
      </c>
      <c r="J23" s="27">
        <f t="shared" si="1"/>
        <v>1</v>
      </c>
      <c r="K23" s="73">
        <f t="shared" si="2"/>
        <v>5.7377049180327863E-2</v>
      </c>
      <c r="L23" s="154"/>
      <c r="M23" s="149"/>
      <c r="N23" s="149"/>
      <c r="O23" s="27" t="str">
        <f>LOOKUP(P23,RANGOS!$F$2:$G$26)</f>
        <v xml:space="preserve">MUY BAJO </v>
      </c>
      <c r="P23" s="27">
        <f t="shared" si="3"/>
        <v>1</v>
      </c>
      <c r="Q23" s="73">
        <f t="shared" si="0"/>
        <v>5.7377049180327863E-2</v>
      </c>
    </row>
    <row r="24" spans="1:17" x14ac:dyDescent="0.3">
      <c r="A24" s="146"/>
      <c r="B24" s="149"/>
      <c r="C24" s="86" t="s">
        <v>114</v>
      </c>
      <c r="D24" s="52">
        <v>3.2786885245901641E-2</v>
      </c>
      <c r="E24" s="27" t="str">
        <f>LOOKUP(F24,RANGOS!$A$2:$B$6)</f>
        <v xml:space="preserve">Muy baja </v>
      </c>
      <c r="F24" s="47">
        <v>1</v>
      </c>
      <c r="G24" s="27" t="str">
        <f>LOOKUP(H24,RANGOS!$A$9:$B$13)</f>
        <v xml:space="preserve">Muy bajo </v>
      </c>
      <c r="H24" s="51">
        <f>'Data ZG'!G26</f>
        <v>1</v>
      </c>
      <c r="I24" s="27" t="str">
        <f>LOOKUP(J24,RANGOS!$F$2:$G$26)</f>
        <v xml:space="preserve">MUY BAJO </v>
      </c>
      <c r="J24" s="27">
        <f t="shared" si="1"/>
        <v>1</v>
      </c>
      <c r="K24" s="73">
        <f t="shared" si="2"/>
        <v>2.2950819672131147E-2</v>
      </c>
      <c r="L24" s="154"/>
      <c r="M24" s="149"/>
      <c r="N24" s="149"/>
      <c r="O24" s="27" t="str">
        <f>LOOKUP(P24,RANGOS!$F$2:$G$26)</f>
        <v xml:space="preserve">MUY BAJO </v>
      </c>
      <c r="P24" s="27">
        <f t="shared" si="3"/>
        <v>1</v>
      </c>
      <c r="Q24" s="73">
        <f t="shared" si="0"/>
        <v>2.2950819672131147E-2</v>
      </c>
    </row>
    <row r="25" spans="1:17" x14ac:dyDescent="0.3">
      <c r="A25" s="146"/>
      <c r="B25" s="149"/>
      <c r="C25" s="86" t="s">
        <v>115</v>
      </c>
      <c r="D25" s="52">
        <v>3.2786885245901641E-2</v>
      </c>
      <c r="E25" s="27" t="str">
        <f>LOOKUP(F25,RANGOS!$A$2:$B$6)</f>
        <v xml:space="preserve">Muy baja </v>
      </c>
      <c r="F25" s="47">
        <v>1</v>
      </c>
      <c r="G25" s="27" t="str">
        <f>LOOKUP(H25,RANGOS!$A$9:$B$13)</f>
        <v xml:space="preserve">Muy bajo </v>
      </c>
      <c r="H25" s="51">
        <f>'Data ZG'!G27</f>
        <v>1</v>
      </c>
      <c r="I25" s="27" t="str">
        <f>LOOKUP(J25,RANGOS!$F$2:$G$26)</f>
        <v xml:space="preserve">MUY BAJO </v>
      </c>
      <c r="J25" s="27">
        <f t="shared" si="1"/>
        <v>1</v>
      </c>
      <c r="K25" s="73">
        <f t="shared" si="2"/>
        <v>2.2950819672131147E-2</v>
      </c>
      <c r="L25" s="154"/>
      <c r="M25" s="149"/>
      <c r="N25" s="149"/>
      <c r="O25" s="27" t="str">
        <f>LOOKUP(P25,RANGOS!$F$2:$G$26)</f>
        <v xml:space="preserve">MUY BAJO </v>
      </c>
      <c r="P25" s="27">
        <f t="shared" si="3"/>
        <v>1</v>
      </c>
      <c r="Q25" s="73">
        <f t="shared" si="0"/>
        <v>2.2950819672131147E-2</v>
      </c>
    </row>
    <row r="26" spans="1:17" x14ac:dyDescent="0.3">
      <c r="A26" s="146"/>
      <c r="B26" s="149"/>
      <c r="C26" s="86" t="s">
        <v>116</v>
      </c>
      <c r="D26" s="52">
        <v>3.2786885245901641E-2</v>
      </c>
      <c r="E26" s="27" t="str">
        <f>LOOKUP(F26,RANGOS!$A$2:$B$6)</f>
        <v xml:space="preserve">Muy baja </v>
      </c>
      <c r="F26" s="47">
        <v>1</v>
      </c>
      <c r="G26" s="27" t="str">
        <f>LOOKUP(H26,RANGOS!$A$9:$B$13)</f>
        <v xml:space="preserve">Muy bajo </v>
      </c>
      <c r="H26" s="51">
        <f>'Data ZG'!G28</f>
        <v>1</v>
      </c>
      <c r="I26" s="27" t="str">
        <f>LOOKUP(J26,RANGOS!$F$2:$G$26)</f>
        <v xml:space="preserve">MUY BAJO </v>
      </c>
      <c r="J26" s="27">
        <f t="shared" si="1"/>
        <v>1</v>
      </c>
      <c r="K26" s="73">
        <f t="shared" si="2"/>
        <v>2.2950819672131147E-2</v>
      </c>
      <c r="L26" s="154"/>
      <c r="M26" s="149"/>
      <c r="N26" s="149"/>
      <c r="O26" s="27" t="str">
        <f>LOOKUP(P26,RANGOS!$F$2:$G$26)</f>
        <v xml:space="preserve">MUY BAJO </v>
      </c>
      <c r="P26" s="27">
        <f t="shared" si="3"/>
        <v>1</v>
      </c>
      <c r="Q26" s="73">
        <f t="shared" si="0"/>
        <v>2.2950819672131147E-2</v>
      </c>
    </row>
    <row r="27" spans="1:17" x14ac:dyDescent="0.3">
      <c r="A27" s="146"/>
      <c r="B27" s="149"/>
      <c r="C27" s="86" t="s">
        <v>117</v>
      </c>
      <c r="D27" s="52">
        <v>6.5573770491803282E-2</v>
      </c>
      <c r="E27" s="27" t="str">
        <f>LOOKUP(F27,RANGOS!$A$2:$B$6)</f>
        <v xml:space="preserve">Muy baja </v>
      </c>
      <c r="F27" s="47">
        <v>1</v>
      </c>
      <c r="G27" s="27" t="str">
        <f>LOOKUP(H27,RANGOS!$A$9:$B$13)</f>
        <v xml:space="preserve">Muy bajo </v>
      </c>
      <c r="H27" s="51">
        <f>'Data ZG'!G29</f>
        <v>1</v>
      </c>
      <c r="I27" s="27" t="str">
        <f>LOOKUP(J27,RANGOS!$F$2:$G$26)</f>
        <v xml:space="preserve">MUY BAJO </v>
      </c>
      <c r="J27" s="27">
        <f t="shared" si="1"/>
        <v>1</v>
      </c>
      <c r="K27" s="73">
        <f t="shared" si="2"/>
        <v>4.5901639344262293E-2</v>
      </c>
      <c r="L27" s="154"/>
      <c r="M27" s="149"/>
      <c r="N27" s="149"/>
      <c r="O27" s="27" t="str">
        <f>LOOKUP(P27,RANGOS!$F$2:$G$26)</f>
        <v xml:space="preserve">MUY BAJO </v>
      </c>
      <c r="P27" s="27">
        <f t="shared" si="3"/>
        <v>1</v>
      </c>
      <c r="Q27" s="73">
        <f t="shared" si="0"/>
        <v>4.5901639344262293E-2</v>
      </c>
    </row>
    <row r="28" spans="1:17" ht="15" thickBot="1" x14ac:dyDescent="0.35">
      <c r="A28" s="147"/>
      <c r="B28" s="150"/>
      <c r="C28" s="88" t="s">
        <v>52</v>
      </c>
      <c r="D28" s="84">
        <v>3.2786885245901641E-2</v>
      </c>
      <c r="E28" s="76" t="str">
        <f>LOOKUP(F28,RANGOS!$A$2:$B$6)</f>
        <v xml:space="preserve">Muy baja </v>
      </c>
      <c r="F28" s="77">
        <v>1</v>
      </c>
      <c r="G28" s="76" t="str">
        <f>LOOKUP(H28,RANGOS!$A$9:$B$13)</f>
        <v xml:space="preserve">Muy bajo </v>
      </c>
      <c r="H28" s="78">
        <f>'Data ZG'!G30</f>
        <v>1</v>
      </c>
      <c r="I28" s="76" t="str">
        <f>LOOKUP(J28,RANGOS!$F$2:$G$26)</f>
        <v xml:space="preserve">MUY BAJO </v>
      </c>
      <c r="J28" s="76">
        <f t="shared" si="1"/>
        <v>1</v>
      </c>
      <c r="K28" s="85">
        <f>B4*D28*J28</f>
        <v>2.2950819672131147E-2</v>
      </c>
      <c r="L28" s="75"/>
      <c r="M28" s="150"/>
      <c r="N28" s="150"/>
      <c r="O28" s="76" t="str">
        <f>LOOKUP(P28,RANGOS!$F$2:$G$26)</f>
        <v xml:space="preserve">MUY BAJO </v>
      </c>
      <c r="P28" s="76">
        <f t="shared" si="3"/>
        <v>1</v>
      </c>
      <c r="Q28" s="85">
        <f>H4*D28*P28</f>
        <v>3.2786885245901641E-2</v>
      </c>
    </row>
    <row r="29" spans="1:17" x14ac:dyDescent="0.3">
      <c r="A29" s="146" t="s">
        <v>119</v>
      </c>
      <c r="B29" s="148">
        <v>0.3</v>
      </c>
      <c r="C29" s="86" t="s">
        <v>120</v>
      </c>
      <c r="D29" s="52">
        <v>0.34</v>
      </c>
      <c r="E29" s="27" t="str">
        <f>LOOKUP(F29,RANGOS!$A$2:$B$6)</f>
        <v xml:space="preserve">Muy baja </v>
      </c>
      <c r="F29" s="47">
        <v>1</v>
      </c>
      <c r="G29" s="27" t="str">
        <f>LOOKUP(H29,RANGOS!$A$9:$B$13)</f>
        <v>Medio</v>
      </c>
      <c r="H29" s="51">
        <f>'Data ZG'!G31</f>
        <v>3</v>
      </c>
      <c r="I29" s="27" t="str">
        <f>LOOKUP(J29,RANGOS!$F$2:$G$26)</f>
        <v>BAJO</v>
      </c>
      <c r="J29" s="27">
        <f t="shared" si="1"/>
        <v>3</v>
      </c>
      <c r="K29" s="73">
        <f>$B$29*D29*J29</f>
        <v>0.30600000000000005</v>
      </c>
      <c r="L29" s="3"/>
      <c r="M29" s="149" t="str">
        <f>LOOKUP(N29,RANGOS!A16:B20)</f>
        <v xml:space="preserve">Muy bajo </v>
      </c>
      <c r="N29" s="149">
        <v>1</v>
      </c>
      <c r="O29" s="27" t="str">
        <f>LOOKUP(P29,RANGOS!$F$2:$G$26)</f>
        <v>BAJO</v>
      </c>
      <c r="P29" s="27">
        <f>J29/$N$29</f>
        <v>3</v>
      </c>
      <c r="Q29" s="73">
        <f>$B$29*D29*P29</f>
        <v>0.30600000000000005</v>
      </c>
    </row>
    <row r="30" spans="1:17" x14ac:dyDescent="0.3">
      <c r="A30" s="146"/>
      <c r="B30" s="149"/>
      <c r="C30" s="86" t="s">
        <v>121</v>
      </c>
      <c r="D30" s="52">
        <v>0.33</v>
      </c>
      <c r="E30" s="27" t="str">
        <f>LOOKUP(F30,RANGOS!$A$2:$B$6)</f>
        <v xml:space="preserve">Muy baja </v>
      </c>
      <c r="F30" s="47">
        <v>1</v>
      </c>
      <c r="G30" s="27" t="str">
        <f>LOOKUP(H30,RANGOS!$A$9:$B$13)</f>
        <v>Medio</v>
      </c>
      <c r="H30" s="51">
        <f>'Data ZG'!G32</f>
        <v>3</v>
      </c>
      <c r="I30" s="27" t="str">
        <f>LOOKUP(J30,RANGOS!$F$2:$G$26)</f>
        <v>BAJO</v>
      </c>
      <c r="J30" s="27">
        <f t="shared" si="1"/>
        <v>3</v>
      </c>
      <c r="K30" s="73">
        <f>$B$29*D30*J30</f>
        <v>0.29700000000000004</v>
      </c>
      <c r="L30" s="3"/>
      <c r="M30" s="149"/>
      <c r="N30" s="149"/>
      <c r="O30" s="27" t="str">
        <f>LOOKUP(P30,RANGOS!$F$2:$G$26)</f>
        <v>BAJO</v>
      </c>
      <c r="P30" s="27">
        <f>J30/$N$29</f>
        <v>3</v>
      </c>
      <c r="Q30" s="73">
        <f>$B$29*D30*P30</f>
        <v>0.29700000000000004</v>
      </c>
    </row>
    <row r="31" spans="1:17" ht="15" thickBot="1" x14ac:dyDescent="0.35">
      <c r="A31" s="147"/>
      <c r="B31" s="150"/>
      <c r="C31" s="88" t="s">
        <v>212</v>
      </c>
      <c r="D31" s="84">
        <v>0.33</v>
      </c>
      <c r="E31" s="76" t="str">
        <f>LOOKUP(F31,RANGOS!$A$2:$B$6)</f>
        <v xml:space="preserve">Muy baja </v>
      </c>
      <c r="F31" s="77">
        <v>1</v>
      </c>
      <c r="G31" s="76" t="str">
        <f>LOOKUP(H31,RANGOS!$A$9:$B$13)</f>
        <v>Medio</v>
      </c>
      <c r="H31" s="78">
        <f>'Data ZG'!G33</f>
        <v>3</v>
      </c>
      <c r="I31" s="76" t="str">
        <f>LOOKUP(J31,RANGOS!$F$2:$G$26)</f>
        <v>BAJO</v>
      </c>
      <c r="J31" s="76">
        <f t="shared" si="1"/>
        <v>3</v>
      </c>
      <c r="K31" s="85">
        <f>$B$29*D31*J31</f>
        <v>0.29700000000000004</v>
      </c>
      <c r="L31" s="75"/>
      <c r="M31" s="150"/>
      <c r="N31" s="150"/>
      <c r="O31" s="76" t="str">
        <f>LOOKUP(P31,RANGOS!$F$2:$G$26)</f>
        <v>BAJO</v>
      </c>
      <c r="P31" s="76">
        <f>J31/$N$29</f>
        <v>3</v>
      </c>
      <c r="Q31" s="85">
        <f>$B$29*D31*P31</f>
        <v>0.29700000000000004</v>
      </c>
    </row>
    <row r="32" spans="1:17" x14ac:dyDescent="0.3">
      <c r="A32" s="3"/>
      <c r="B32" s="3"/>
      <c r="C32" s="3"/>
      <c r="D32" s="3"/>
      <c r="E32" s="3"/>
      <c r="F32" s="3"/>
      <c r="G32" s="3"/>
      <c r="H32" s="116" t="s">
        <v>179</v>
      </c>
      <c r="I32" s="151" t="str">
        <f>LOOKUP(K32,RANGOS!$F$2:$G$26)</f>
        <v>BAJO</v>
      </c>
      <c r="J32" s="151"/>
      <c r="K32" s="121">
        <f>SUM(K4:K31)</f>
        <v>2.7016393442622952</v>
      </c>
      <c r="L32" s="3"/>
      <c r="M32" s="3"/>
      <c r="N32" s="116" t="s">
        <v>180</v>
      </c>
      <c r="O32" s="151" t="str">
        <f>LOOKUP(Q32,RANGOS!$F$2:$G$26)</f>
        <v>BAJO</v>
      </c>
      <c r="P32" s="151"/>
      <c r="Q32" s="121">
        <f>SUM(Q4:Q31)</f>
        <v>2.7114754098360656</v>
      </c>
    </row>
  </sheetData>
  <sortState xmlns:xlrd2="http://schemas.microsoft.com/office/spreadsheetml/2017/richdata2" ref="H2:I25">
    <sortCondition ref="H2:H25"/>
  </sortState>
  <mergeCells count="17">
    <mergeCell ref="I32:J32"/>
    <mergeCell ref="O32:P32"/>
    <mergeCell ref="M3:N3"/>
    <mergeCell ref="O3:P3"/>
    <mergeCell ref="M4:M28"/>
    <mergeCell ref="N4:N28"/>
    <mergeCell ref="M29:M31"/>
    <mergeCell ref="N29:N31"/>
    <mergeCell ref="L4:L27"/>
    <mergeCell ref="E3:F3"/>
    <mergeCell ref="G3:H3"/>
    <mergeCell ref="I3:J3"/>
    <mergeCell ref="A4:A28"/>
    <mergeCell ref="A29:A31"/>
    <mergeCell ref="B29:B31"/>
    <mergeCell ref="B4:B28"/>
    <mergeCell ref="A3:B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G33"/>
  <sheetViews>
    <sheetView topLeftCell="A19" zoomScale="130" zoomScaleNormal="130" workbookViewId="0">
      <selection activeCell="F1" sqref="F1"/>
    </sheetView>
  </sheetViews>
  <sheetFormatPr baseColWidth="10" defaultColWidth="11.44140625" defaultRowHeight="14.4" x14ac:dyDescent="0.3"/>
  <cols>
    <col min="1" max="1" width="14.6640625" customWidth="1"/>
    <col min="2" max="2" width="7" customWidth="1"/>
    <col min="3" max="3" width="13.5546875" customWidth="1"/>
    <col min="4" max="5" width="11.44140625" customWidth="1"/>
    <col min="6" max="6" width="8.6640625" customWidth="1"/>
    <col min="7" max="7" width="8" customWidth="1"/>
  </cols>
  <sheetData>
    <row r="1" spans="1:7" ht="17.399999999999999" x14ac:dyDescent="0.3">
      <c r="A1" s="100" t="s">
        <v>186</v>
      </c>
      <c r="C1" s="10"/>
      <c r="D1" s="10"/>
      <c r="E1" s="10"/>
    </row>
    <row r="2" spans="1:7" x14ac:dyDescent="0.3">
      <c r="A2" s="1"/>
      <c r="C2" s="10"/>
      <c r="D2" s="10"/>
      <c r="E2" s="10"/>
    </row>
    <row r="3" spans="1:7" x14ac:dyDescent="0.3">
      <c r="A3" s="1" t="s">
        <v>171</v>
      </c>
      <c r="C3" s="10"/>
      <c r="D3" s="10"/>
      <c r="E3" s="10"/>
    </row>
    <row r="4" spans="1:7" x14ac:dyDescent="0.3">
      <c r="A4" s="1"/>
      <c r="C4" s="10"/>
      <c r="D4" s="10"/>
      <c r="E4" s="10"/>
    </row>
    <row r="5" spans="1:7" ht="26.4" x14ac:dyDescent="0.3">
      <c r="A5" s="219" t="s">
        <v>0</v>
      </c>
      <c r="B5" s="219"/>
      <c r="C5" s="131" t="s">
        <v>1</v>
      </c>
      <c r="D5" s="98" t="s">
        <v>71</v>
      </c>
      <c r="E5" s="98" t="s">
        <v>70</v>
      </c>
      <c r="F5" s="162" t="s">
        <v>16</v>
      </c>
      <c r="G5" s="162"/>
    </row>
    <row r="6" spans="1:7" x14ac:dyDescent="0.3">
      <c r="A6" s="266" t="s">
        <v>118</v>
      </c>
      <c r="B6" s="269">
        <v>0.7</v>
      </c>
      <c r="C6" s="90" t="s">
        <v>96</v>
      </c>
      <c r="D6" s="91">
        <v>1</v>
      </c>
      <c r="E6" s="92">
        <f>D6/SUM($D$6:$D$30)</f>
        <v>2.1177372993470379E-7</v>
      </c>
      <c r="F6" s="39" t="str">
        <f>LOOKUP(G6,RANGOS!$A$9:$B$13)</f>
        <v xml:space="preserve">Muy bajo </v>
      </c>
      <c r="G6" s="39">
        <f>LOOKUP(E6,RANGOS!$I$2:$J$101)</f>
        <v>1</v>
      </c>
    </row>
    <row r="7" spans="1:7" x14ac:dyDescent="0.3">
      <c r="A7" s="267"/>
      <c r="B7" s="270"/>
      <c r="C7" s="50" t="s">
        <v>97</v>
      </c>
      <c r="D7" s="93">
        <v>1</v>
      </c>
      <c r="E7" s="94">
        <f t="shared" ref="E7:E30" si="0">D7/SUM($D$6:$D$30)</f>
        <v>2.1177372993470379E-7</v>
      </c>
      <c r="F7" s="28" t="str">
        <f>LOOKUP(G7,RANGOS!$A$9:$B$13)</f>
        <v xml:space="preserve">Muy bajo </v>
      </c>
      <c r="G7" s="28">
        <f>LOOKUP(E7,RANGOS!$I$2:$J$101)</f>
        <v>1</v>
      </c>
    </row>
    <row r="8" spans="1:7" x14ac:dyDescent="0.3">
      <c r="A8" s="267"/>
      <c r="B8" s="270"/>
      <c r="C8" s="53" t="s">
        <v>98</v>
      </c>
      <c r="D8" s="93">
        <v>1</v>
      </c>
      <c r="E8" s="94">
        <f t="shared" si="0"/>
        <v>2.1177372993470379E-7</v>
      </c>
      <c r="F8" s="28" t="str">
        <f>LOOKUP(G8,RANGOS!$A$9:$B$13)</f>
        <v xml:space="preserve">Muy bajo </v>
      </c>
      <c r="G8" s="28">
        <f>LOOKUP(E8,RANGOS!$I$2:$J$101)</f>
        <v>1</v>
      </c>
    </row>
    <row r="9" spans="1:7" x14ac:dyDescent="0.3">
      <c r="A9" s="267"/>
      <c r="B9" s="270"/>
      <c r="C9" s="134" t="s">
        <v>99</v>
      </c>
      <c r="D9" s="93">
        <v>36536</v>
      </c>
      <c r="E9" s="94">
        <f t="shared" si="0"/>
        <v>7.737364996894338E-3</v>
      </c>
      <c r="F9" s="28" t="str">
        <f>LOOKUP(G9,RANGOS!$A$9:$B$13)</f>
        <v xml:space="preserve">Muy bajo </v>
      </c>
      <c r="G9" s="28">
        <f>LOOKUP(E9,RANGOS!$I$2:$J$101)</f>
        <v>1</v>
      </c>
    </row>
    <row r="10" spans="1:7" x14ac:dyDescent="0.3">
      <c r="A10" s="267"/>
      <c r="B10" s="270"/>
      <c r="C10" s="53" t="s">
        <v>100</v>
      </c>
      <c r="D10" s="93">
        <v>1</v>
      </c>
      <c r="E10" s="94">
        <f t="shared" si="0"/>
        <v>2.1177372993470379E-7</v>
      </c>
      <c r="F10" s="28" t="str">
        <f>LOOKUP(G10,RANGOS!$A$9:$B$13)</f>
        <v xml:space="preserve">Muy bajo </v>
      </c>
      <c r="G10" s="28">
        <f>LOOKUP(E10,RANGOS!$I$2:$J$101)</f>
        <v>1</v>
      </c>
    </row>
    <row r="11" spans="1:7" x14ac:dyDescent="0.3">
      <c r="A11" s="267"/>
      <c r="B11" s="270"/>
      <c r="C11" s="53" t="s">
        <v>101</v>
      </c>
      <c r="D11" s="93">
        <v>1</v>
      </c>
      <c r="E11" s="94">
        <f t="shared" si="0"/>
        <v>2.1177372993470379E-7</v>
      </c>
      <c r="F11" s="28" t="str">
        <f>LOOKUP(G11,RANGOS!$A$9:$B$13)</f>
        <v xml:space="preserve">Muy bajo </v>
      </c>
      <c r="G11" s="28">
        <f>LOOKUP(E11,RANGOS!$I$2:$J$101)</f>
        <v>1</v>
      </c>
    </row>
    <row r="12" spans="1:7" x14ac:dyDescent="0.3">
      <c r="A12" s="267"/>
      <c r="B12" s="270"/>
      <c r="C12" s="53" t="s">
        <v>102</v>
      </c>
      <c r="D12" s="93">
        <v>1</v>
      </c>
      <c r="E12" s="94">
        <f t="shared" si="0"/>
        <v>2.1177372993470379E-7</v>
      </c>
      <c r="F12" s="28" t="str">
        <f>LOOKUP(G12,RANGOS!$A$9:$B$13)</f>
        <v xml:space="preserve">Muy bajo </v>
      </c>
      <c r="G12" s="28">
        <f>LOOKUP(E12,RANGOS!$I$2:$J$101)</f>
        <v>1</v>
      </c>
    </row>
    <row r="13" spans="1:7" x14ac:dyDescent="0.3">
      <c r="A13" s="267"/>
      <c r="B13" s="270"/>
      <c r="C13" s="53" t="s">
        <v>103</v>
      </c>
      <c r="D13" s="93">
        <v>1</v>
      </c>
      <c r="E13" s="94">
        <f t="shared" si="0"/>
        <v>2.1177372993470379E-7</v>
      </c>
      <c r="F13" s="28" t="str">
        <f>LOOKUP(G13,RANGOS!$A$9:$B$13)</f>
        <v xml:space="preserve">Muy bajo </v>
      </c>
      <c r="G13" s="28">
        <f>LOOKUP(E13,RANGOS!$I$2:$J$101)</f>
        <v>1</v>
      </c>
    </row>
    <row r="14" spans="1:7" x14ac:dyDescent="0.3">
      <c r="A14" s="267"/>
      <c r="B14" s="270"/>
      <c r="C14" s="50" t="s">
        <v>104</v>
      </c>
      <c r="D14" s="93">
        <v>1</v>
      </c>
      <c r="E14" s="94">
        <f t="shared" si="0"/>
        <v>2.1177372993470379E-7</v>
      </c>
      <c r="F14" s="28" t="str">
        <f>LOOKUP(G14,RANGOS!$A$9:$B$13)</f>
        <v xml:space="preserve">Muy bajo </v>
      </c>
      <c r="G14" s="28">
        <f>LOOKUP(E14,RANGOS!$I$2:$J$101)</f>
        <v>1</v>
      </c>
    </row>
    <row r="15" spans="1:7" x14ac:dyDescent="0.3">
      <c r="A15" s="267"/>
      <c r="B15" s="270"/>
      <c r="C15" s="50" t="s">
        <v>105</v>
      </c>
      <c r="D15" s="93">
        <v>1</v>
      </c>
      <c r="E15" s="94">
        <f t="shared" si="0"/>
        <v>2.1177372993470379E-7</v>
      </c>
      <c r="F15" s="28" t="str">
        <f>LOOKUP(G15,RANGOS!$A$9:$B$13)</f>
        <v xml:space="preserve">Muy bajo </v>
      </c>
      <c r="G15" s="28">
        <f>LOOKUP(E15,RANGOS!$I$2:$J$101)</f>
        <v>1</v>
      </c>
    </row>
    <row r="16" spans="1:7" x14ac:dyDescent="0.3">
      <c r="A16" s="267"/>
      <c r="B16" s="270"/>
      <c r="C16" s="50" t="s">
        <v>106</v>
      </c>
      <c r="D16" s="93">
        <v>1</v>
      </c>
      <c r="E16" s="94">
        <f t="shared" si="0"/>
        <v>2.1177372993470379E-7</v>
      </c>
      <c r="F16" s="28" t="str">
        <f>LOOKUP(G16,RANGOS!$A$9:$B$13)</f>
        <v xml:space="preserve">Muy bajo </v>
      </c>
      <c r="G16" s="28">
        <f>LOOKUP(E16,RANGOS!$I$2:$J$101)</f>
        <v>1</v>
      </c>
    </row>
    <row r="17" spans="1:7" x14ac:dyDescent="0.3">
      <c r="A17" s="267"/>
      <c r="B17" s="270"/>
      <c r="C17" s="135" t="s">
        <v>107</v>
      </c>
      <c r="D17" s="93">
        <v>563456</v>
      </c>
      <c r="E17" s="94">
        <f t="shared" si="0"/>
        <v>0.11932517877408846</v>
      </c>
      <c r="F17" s="28" t="str">
        <f>LOOKUP(G17,RANGOS!$A$9:$B$13)</f>
        <v xml:space="preserve">Bajo </v>
      </c>
      <c r="G17" s="28">
        <f>LOOKUP(E17,RANGOS!$I$2:$J$101)</f>
        <v>2</v>
      </c>
    </row>
    <row r="18" spans="1:7" x14ac:dyDescent="0.3">
      <c r="A18" s="267"/>
      <c r="B18" s="270"/>
      <c r="C18" s="135" t="s">
        <v>108</v>
      </c>
      <c r="D18" s="93">
        <v>5655</v>
      </c>
      <c r="E18" s="94">
        <f t="shared" si="0"/>
        <v>1.19758044278075E-3</v>
      </c>
      <c r="F18" s="28" t="str">
        <f>LOOKUP(G18,RANGOS!$A$9:$B$13)</f>
        <v xml:space="preserve">Muy bajo </v>
      </c>
      <c r="G18" s="28">
        <f>LOOKUP(E18,RANGOS!$I$2:$J$101)</f>
        <v>1</v>
      </c>
    </row>
    <row r="19" spans="1:7" x14ac:dyDescent="0.3">
      <c r="A19" s="267"/>
      <c r="B19" s="270"/>
      <c r="C19" s="135" t="s">
        <v>53</v>
      </c>
      <c r="D19" s="93">
        <v>3546456</v>
      </c>
      <c r="E19" s="94">
        <f t="shared" si="0"/>
        <v>0.75104621516930992</v>
      </c>
      <c r="F19" s="28" t="str">
        <f>LOOKUP(G19,RANGOS!$A$9:$B$13)</f>
        <v xml:space="preserve">Muy alto </v>
      </c>
      <c r="G19" s="28">
        <f>LOOKUP(E19,RANGOS!$I$2:$J$101)</f>
        <v>5</v>
      </c>
    </row>
    <row r="20" spans="1:7" x14ac:dyDescent="0.3">
      <c r="A20" s="267"/>
      <c r="B20" s="270"/>
      <c r="C20" s="50" t="s">
        <v>109</v>
      </c>
      <c r="D20" s="93">
        <v>1</v>
      </c>
      <c r="E20" s="94">
        <f t="shared" si="0"/>
        <v>2.1177372993470379E-7</v>
      </c>
      <c r="F20" s="28" t="str">
        <f>LOOKUP(G20,RANGOS!$A$9:$B$13)</f>
        <v xml:space="preserve">Muy bajo </v>
      </c>
      <c r="G20" s="28">
        <f>LOOKUP(E20,RANGOS!$I$2:$J$101)</f>
        <v>1</v>
      </c>
    </row>
    <row r="21" spans="1:7" x14ac:dyDescent="0.3">
      <c r="A21" s="267"/>
      <c r="B21" s="270"/>
      <c r="C21" s="53" t="s">
        <v>110</v>
      </c>
      <c r="D21" s="93">
        <v>1</v>
      </c>
      <c r="E21" s="94">
        <f t="shared" si="0"/>
        <v>2.1177372993470379E-7</v>
      </c>
      <c r="F21" s="28" t="str">
        <f>LOOKUP(G21,RANGOS!$A$9:$B$13)</f>
        <v xml:space="preserve">Muy bajo </v>
      </c>
      <c r="G21" s="28">
        <f>LOOKUP(E21,RANGOS!$I$2:$J$101)</f>
        <v>1</v>
      </c>
    </row>
    <row r="22" spans="1:7" x14ac:dyDescent="0.3">
      <c r="A22" s="267"/>
      <c r="B22" s="270"/>
      <c r="C22" s="50" t="s">
        <v>111</v>
      </c>
      <c r="D22" s="93">
        <v>1</v>
      </c>
      <c r="E22" s="94">
        <f t="shared" si="0"/>
        <v>2.1177372993470379E-7</v>
      </c>
      <c r="F22" s="28" t="str">
        <f>LOOKUP(G22,RANGOS!$A$9:$B$13)</f>
        <v xml:space="preserve">Muy bajo </v>
      </c>
      <c r="G22" s="28">
        <f>LOOKUP(E22,RANGOS!$I$2:$J$101)</f>
        <v>1</v>
      </c>
    </row>
    <row r="23" spans="1:7" x14ac:dyDescent="0.3">
      <c r="A23" s="267"/>
      <c r="B23" s="270"/>
      <c r="C23" s="50" t="s">
        <v>112</v>
      </c>
      <c r="D23" s="93">
        <v>1</v>
      </c>
      <c r="E23" s="94">
        <f t="shared" si="0"/>
        <v>2.1177372993470379E-7</v>
      </c>
      <c r="F23" s="28" t="str">
        <f>LOOKUP(G23,RANGOS!$A$9:$B$13)</f>
        <v xml:space="preserve">Muy bajo </v>
      </c>
      <c r="G23" s="28">
        <f>LOOKUP(E23,RANGOS!$I$2:$J$101)</f>
        <v>1</v>
      </c>
    </row>
    <row r="24" spans="1:7" x14ac:dyDescent="0.3">
      <c r="A24" s="267"/>
      <c r="B24" s="270"/>
      <c r="C24" s="135" t="s">
        <v>54</v>
      </c>
      <c r="D24" s="93">
        <v>569898</v>
      </c>
      <c r="E24" s="94">
        <f t="shared" si="0"/>
        <v>0.12068942514232783</v>
      </c>
      <c r="F24" s="28" t="str">
        <f>LOOKUP(G24,RANGOS!$A$9:$B$13)</f>
        <v xml:space="preserve">Bajo </v>
      </c>
      <c r="G24" s="28">
        <f>LOOKUP(E24,RANGOS!$I$2:$J$101)</f>
        <v>2</v>
      </c>
    </row>
    <row r="25" spans="1:7" x14ac:dyDescent="0.3">
      <c r="A25" s="267"/>
      <c r="B25" s="270"/>
      <c r="C25" s="50" t="s">
        <v>113</v>
      </c>
      <c r="D25" s="93">
        <v>1</v>
      </c>
      <c r="E25" s="94">
        <f t="shared" si="0"/>
        <v>2.1177372993470379E-7</v>
      </c>
      <c r="F25" s="28" t="str">
        <f>LOOKUP(G25,RANGOS!$A$9:$B$13)</f>
        <v xml:space="preserve">Muy bajo </v>
      </c>
      <c r="G25" s="28">
        <f>LOOKUP(E25,RANGOS!$I$2:$J$101)</f>
        <v>1</v>
      </c>
    </row>
    <row r="26" spans="1:7" x14ac:dyDescent="0.3">
      <c r="A26" s="267"/>
      <c r="B26" s="270"/>
      <c r="C26" s="50" t="s">
        <v>114</v>
      </c>
      <c r="D26" s="93">
        <v>1</v>
      </c>
      <c r="E26" s="94">
        <f t="shared" si="0"/>
        <v>2.1177372993470379E-7</v>
      </c>
      <c r="F26" s="28" t="str">
        <f>LOOKUP(G26,RANGOS!$A$9:$B$13)</f>
        <v xml:space="preserve">Muy bajo </v>
      </c>
      <c r="G26" s="28">
        <f>LOOKUP(E26,RANGOS!$I$2:$J$101)</f>
        <v>1</v>
      </c>
    </row>
    <row r="27" spans="1:7" x14ac:dyDescent="0.3">
      <c r="A27" s="267"/>
      <c r="B27" s="270"/>
      <c r="C27" s="50" t="s">
        <v>115</v>
      </c>
      <c r="D27" s="93">
        <v>1</v>
      </c>
      <c r="E27" s="94">
        <f t="shared" si="0"/>
        <v>2.1177372993470379E-7</v>
      </c>
      <c r="F27" s="28" t="str">
        <f>LOOKUP(G27,RANGOS!$A$9:$B$13)</f>
        <v xml:space="preserve">Muy bajo </v>
      </c>
      <c r="G27" s="28">
        <f>LOOKUP(E27,RANGOS!$I$2:$J$101)</f>
        <v>1</v>
      </c>
    </row>
    <row r="28" spans="1:7" x14ac:dyDescent="0.3">
      <c r="A28" s="267"/>
      <c r="B28" s="270"/>
      <c r="C28" s="50" t="s">
        <v>116</v>
      </c>
      <c r="D28" s="93">
        <v>1</v>
      </c>
      <c r="E28" s="94">
        <f t="shared" si="0"/>
        <v>2.1177372993470379E-7</v>
      </c>
      <c r="F28" s="28" t="str">
        <f>LOOKUP(G28,RANGOS!$A$9:$B$13)</f>
        <v xml:space="preserve">Muy bajo </v>
      </c>
      <c r="G28" s="28">
        <f>LOOKUP(E28,RANGOS!$I$2:$J$101)</f>
        <v>1</v>
      </c>
    </row>
    <row r="29" spans="1:7" x14ac:dyDescent="0.3">
      <c r="A29" s="267"/>
      <c r="B29" s="270"/>
      <c r="C29" s="50" t="s">
        <v>117</v>
      </c>
      <c r="D29" s="93">
        <v>1</v>
      </c>
      <c r="E29" s="94">
        <f t="shared" si="0"/>
        <v>2.1177372993470379E-7</v>
      </c>
      <c r="F29" s="28" t="str">
        <f>LOOKUP(G29,RANGOS!$A$9:$B$13)</f>
        <v xml:space="preserve">Muy bajo </v>
      </c>
      <c r="G29" s="28">
        <f>LOOKUP(E29,RANGOS!$I$2:$J$101)</f>
        <v>1</v>
      </c>
    </row>
    <row r="30" spans="1:7" x14ac:dyDescent="0.3">
      <c r="A30" s="268"/>
      <c r="B30" s="271"/>
      <c r="C30" s="127" t="s">
        <v>52</v>
      </c>
      <c r="D30" s="128">
        <v>1</v>
      </c>
      <c r="E30" s="129">
        <f t="shared" si="0"/>
        <v>2.1177372993470379E-7</v>
      </c>
      <c r="F30" s="40" t="str">
        <f>LOOKUP(G30,RANGOS!$A$9:$B$13)</f>
        <v xml:space="preserve">Muy bajo </v>
      </c>
      <c r="G30" s="40">
        <f>LOOKUP(E30,RANGOS!$I$2:$J$101)</f>
        <v>1</v>
      </c>
    </row>
    <row r="31" spans="1:7" x14ac:dyDescent="0.3">
      <c r="A31" s="266" t="s">
        <v>119</v>
      </c>
      <c r="B31" s="269">
        <v>0.3</v>
      </c>
      <c r="C31" s="130" t="s">
        <v>120</v>
      </c>
      <c r="D31" s="91">
        <v>1</v>
      </c>
      <c r="E31" s="92">
        <f>D31/SUM($D$31:$D$33)</f>
        <v>0.33333333333333331</v>
      </c>
      <c r="F31" s="39" t="str">
        <f>LOOKUP(G31,RANGOS!$A$9:$B$13)</f>
        <v>Medio</v>
      </c>
      <c r="G31" s="39">
        <f>LOOKUP(E31,RANGOS!$I$2:$J$101)</f>
        <v>3</v>
      </c>
    </row>
    <row r="32" spans="1:7" x14ac:dyDescent="0.3">
      <c r="A32" s="267"/>
      <c r="B32" s="270"/>
      <c r="C32" s="50" t="s">
        <v>121</v>
      </c>
      <c r="D32" s="93">
        <v>1</v>
      </c>
      <c r="E32" s="94">
        <f t="shared" ref="E32:E33" si="1">D32/SUM($D$31:$D$33)</f>
        <v>0.33333333333333331</v>
      </c>
      <c r="F32" s="28" t="str">
        <f>LOOKUP(G32,RANGOS!$A$9:$B$13)</f>
        <v>Medio</v>
      </c>
      <c r="G32" s="28">
        <f>LOOKUP(E32,RANGOS!$I$2:$J$101)</f>
        <v>3</v>
      </c>
    </row>
    <row r="33" spans="1:7" x14ac:dyDescent="0.3">
      <c r="A33" s="268"/>
      <c r="B33" s="271"/>
      <c r="C33" s="127" t="s">
        <v>212</v>
      </c>
      <c r="D33" s="128">
        <v>1</v>
      </c>
      <c r="E33" s="129">
        <f t="shared" si="1"/>
        <v>0.33333333333333331</v>
      </c>
      <c r="F33" s="40" t="str">
        <f>LOOKUP(G33,RANGOS!$A$9:$B$13)</f>
        <v>Medio</v>
      </c>
      <c r="G33" s="40">
        <f>LOOKUP(E33,RANGOS!$I$2:$J$101)</f>
        <v>3</v>
      </c>
    </row>
  </sheetData>
  <mergeCells count="6">
    <mergeCell ref="A31:A33"/>
    <mergeCell ref="B31:B33"/>
    <mergeCell ref="F5:G5"/>
    <mergeCell ref="A5:B5"/>
    <mergeCell ref="A6:A30"/>
    <mergeCell ref="B6:B30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2"/>
  <sheetViews>
    <sheetView zoomScale="130" zoomScaleNormal="130" workbookViewId="0">
      <selection activeCell="G9" sqref="G9:H9"/>
    </sheetView>
  </sheetViews>
  <sheetFormatPr baseColWidth="10" defaultRowHeight="14.4" x14ac:dyDescent="0.3"/>
  <cols>
    <col min="1" max="1" width="38.5546875" customWidth="1"/>
    <col min="2" max="2" width="9.33203125" style="10" customWidth="1"/>
    <col min="3" max="3" width="11.88671875" customWidth="1"/>
    <col min="4" max="4" width="10" customWidth="1"/>
    <col min="5" max="5" width="7.33203125" customWidth="1"/>
    <col min="8" max="8" width="6.88671875" customWidth="1"/>
  </cols>
  <sheetData>
    <row r="1" spans="1:8" ht="17.399999999999999" x14ac:dyDescent="0.3">
      <c r="A1" s="100" t="s">
        <v>187</v>
      </c>
    </row>
    <row r="2" spans="1:8" x14ac:dyDescent="0.3">
      <c r="A2" s="122"/>
    </row>
    <row r="3" spans="1:8" ht="15" thickBot="1" x14ac:dyDescent="0.35">
      <c r="A3" s="79"/>
      <c r="B3" s="79"/>
      <c r="C3" s="272" t="s">
        <v>33</v>
      </c>
      <c r="D3" s="272"/>
      <c r="E3" s="137" t="s">
        <v>122</v>
      </c>
      <c r="F3" s="273" t="s">
        <v>147</v>
      </c>
      <c r="G3" s="273"/>
      <c r="H3" s="136" t="s">
        <v>122</v>
      </c>
    </row>
    <row r="4" spans="1:8" x14ac:dyDescent="0.3">
      <c r="A4" s="24" t="s">
        <v>188</v>
      </c>
      <c r="B4" s="23">
        <v>0.4</v>
      </c>
      <c r="C4" s="142" t="str">
        <f>LOOKUP(D4,RANGOS!$F$2:$G$26)</f>
        <v xml:space="preserve">MUY BAJO </v>
      </c>
      <c r="D4" s="143">
        <v>1</v>
      </c>
      <c r="E4" s="143">
        <f>B4*D4</f>
        <v>0.4</v>
      </c>
      <c r="F4" s="138" t="str">
        <f>LOOKUP(G4,RANGOS!$F$2:$G$26)</f>
        <v xml:space="preserve">MUY BAJO </v>
      </c>
      <c r="G4" s="139">
        <v>1</v>
      </c>
      <c r="H4" s="139">
        <f>B4*G4</f>
        <v>0.4</v>
      </c>
    </row>
    <row r="5" spans="1:8" x14ac:dyDescent="0.3">
      <c r="A5" s="24" t="s">
        <v>189</v>
      </c>
      <c r="B5" s="25">
        <v>0.2</v>
      </c>
      <c r="C5" s="142" t="str">
        <f>LOOKUP(D5,RANGOS!$F$2:$G$26)</f>
        <v xml:space="preserve">MUY BAJO </v>
      </c>
      <c r="D5" s="143">
        <v>1</v>
      </c>
      <c r="E5" s="143">
        <f t="shared" ref="E5:E8" si="0">B5*D5</f>
        <v>0.2</v>
      </c>
      <c r="F5" s="138" t="str">
        <f>LOOKUP(G5,RANGOS!$F$2:$G$26)</f>
        <v xml:space="preserve">MUY BAJO </v>
      </c>
      <c r="G5" s="139">
        <v>1</v>
      </c>
      <c r="H5" s="139">
        <f t="shared" ref="H5:H8" si="1">B5*G5</f>
        <v>0.2</v>
      </c>
    </row>
    <row r="6" spans="1:8" x14ac:dyDescent="0.3">
      <c r="A6" s="24" t="s">
        <v>190</v>
      </c>
      <c r="B6" s="25">
        <v>0.15</v>
      </c>
      <c r="C6" s="142" t="str">
        <f>LOOKUP(D6,RANGOS!$F$2:$G$26)</f>
        <v xml:space="preserve">MUY BAJO </v>
      </c>
      <c r="D6" s="143">
        <v>1</v>
      </c>
      <c r="E6" s="143">
        <f t="shared" si="0"/>
        <v>0.15</v>
      </c>
      <c r="F6" s="138" t="str">
        <f>LOOKUP(G6,RANGOS!$F$2:$G$26)</f>
        <v xml:space="preserve">MUY BAJO </v>
      </c>
      <c r="G6" s="139">
        <v>1</v>
      </c>
      <c r="H6" s="139">
        <f t="shared" si="1"/>
        <v>0.15</v>
      </c>
    </row>
    <row r="7" spans="1:8" x14ac:dyDescent="0.3">
      <c r="A7" s="24" t="s">
        <v>191</v>
      </c>
      <c r="B7" s="25">
        <v>0.05</v>
      </c>
      <c r="C7" s="142" t="str">
        <f>LOOKUP(D7,RANGOS!$F$2:$G$26)</f>
        <v xml:space="preserve">MUY BAJO </v>
      </c>
      <c r="D7" s="143">
        <v>1</v>
      </c>
      <c r="E7" s="143">
        <f t="shared" si="0"/>
        <v>0.05</v>
      </c>
      <c r="F7" s="138" t="str">
        <f>LOOKUP(G7,RANGOS!$F$2:$G$26)</f>
        <v xml:space="preserve">MUY BAJO </v>
      </c>
      <c r="G7" s="139">
        <v>1</v>
      </c>
      <c r="H7" s="139">
        <f t="shared" si="1"/>
        <v>0.05</v>
      </c>
    </row>
    <row r="8" spans="1:8" ht="15" thickBot="1" x14ac:dyDescent="0.35">
      <c r="A8" s="124" t="s">
        <v>192</v>
      </c>
      <c r="B8" s="125">
        <v>0.2</v>
      </c>
      <c r="C8" s="142" t="str">
        <f>LOOKUP(D8,RANGOS!$F$2:$G$26)</f>
        <v xml:space="preserve">MUY BAJO </v>
      </c>
      <c r="D8" s="143">
        <v>1</v>
      </c>
      <c r="E8" s="143">
        <f t="shared" si="0"/>
        <v>0.2</v>
      </c>
      <c r="F8" s="140" t="str">
        <f>LOOKUP(G8,RANGOS!$F$2:$G$26)</f>
        <v xml:space="preserve">MUY BAJO </v>
      </c>
      <c r="G8" s="141">
        <v>1</v>
      </c>
      <c r="H8" s="141">
        <f t="shared" si="1"/>
        <v>0.2</v>
      </c>
    </row>
    <row r="9" spans="1:8" x14ac:dyDescent="0.3">
      <c r="A9" s="2"/>
      <c r="B9" s="57"/>
      <c r="D9" t="str">
        <f>LOOKUP(E9,RANGOS!F2:G26)</f>
        <v xml:space="preserve">MUY BAJO </v>
      </c>
      <c r="E9" s="123">
        <f>SUM($E$4:$E$8)</f>
        <v>1.0000000000000002</v>
      </c>
      <c r="G9" t="str">
        <f>LOOKUP(H9,RANGOS!$F$2:$G$26)</f>
        <v xml:space="preserve">MUY BAJO </v>
      </c>
      <c r="H9" s="123">
        <f>SUM(H4:H8)</f>
        <v>1.0000000000000002</v>
      </c>
    </row>
    <row r="10" spans="1:8" x14ac:dyDescent="0.3">
      <c r="A10" s="2"/>
      <c r="B10" s="57"/>
      <c r="D10" s="12"/>
    </row>
    <row r="11" spans="1:8" x14ac:dyDescent="0.3">
      <c r="D11" s="12"/>
    </row>
    <row r="12" spans="1:8" x14ac:dyDescent="0.3">
      <c r="B12" s="22"/>
      <c r="D12" s="22"/>
    </row>
  </sheetData>
  <sortState xmlns:xlrd2="http://schemas.microsoft.com/office/spreadsheetml/2017/richdata2" ref="C16:C24">
    <sortCondition ref="C15"/>
  </sortState>
  <mergeCells count="2">
    <mergeCell ref="C3:D3"/>
    <mergeCell ref="F3: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1"/>
  <sheetViews>
    <sheetView workbookViewId="0">
      <selection activeCell="L9" sqref="L9"/>
    </sheetView>
  </sheetViews>
  <sheetFormatPr baseColWidth="10" defaultColWidth="11.44140625" defaultRowHeight="14.4" x14ac:dyDescent="0.3"/>
  <cols>
    <col min="1" max="1" width="4.33203125" style="5" customWidth="1"/>
    <col min="2" max="2" width="15.44140625" style="5" customWidth="1"/>
    <col min="3" max="3" width="4.33203125" style="5" customWidth="1"/>
    <col min="4" max="4" width="13.5546875" style="5" customWidth="1"/>
    <col min="5" max="5" width="11.88671875" style="5" customWidth="1"/>
    <col min="6" max="6" width="9" style="5" customWidth="1"/>
    <col min="7" max="9" width="11.44140625" style="5"/>
    <col min="10" max="10" width="11.5546875" style="5" bestFit="1" customWidth="1"/>
    <col min="11" max="16384" width="11.44140625" style="5"/>
  </cols>
  <sheetData>
    <row r="1" spans="1:10" ht="30" customHeight="1" x14ac:dyDescent="0.3">
      <c r="A1" s="3" t="s">
        <v>13</v>
      </c>
      <c r="B1" s="4"/>
      <c r="C1" s="4"/>
      <c r="D1" s="11" t="s">
        <v>30</v>
      </c>
      <c r="E1" s="11" t="s">
        <v>16</v>
      </c>
      <c r="F1" s="267" t="s">
        <v>174</v>
      </c>
      <c r="G1" s="267"/>
      <c r="I1" s="274" t="s">
        <v>194</v>
      </c>
      <c r="J1" s="274"/>
    </row>
    <row r="2" spans="1:10" ht="21.75" customHeight="1" x14ac:dyDescent="0.3">
      <c r="A2" s="6">
        <v>1</v>
      </c>
      <c r="B2" s="7" t="s">
        <v>22</v>
      </c>
      <c r="C2" s="4"/>
      <c r="D2" s="37">
        <v>1</v>
      </c>
      <c r="E2" s="37">
        <v>1</v>
      </c>
      <c r="F2" s="36">
        <v>0.1</v>
      </c>
      <c r="G2" s="37" t="s">
        <v>31</v>
      </c>
      <c r="I2" s="38">
        <v>1E-13</v>
      </c>
      <c r="J2" s="5">
        <v>1</v>
      </c>
    </row>
    <row r="3" spans="1:10" x14ac:dyDescent="0.3">
      <c r="A3" s="6">
        <v>2</v>
      </c>
      <c r="B3" s="7" t="s">
        <v>23</v>
      </c>
      <c r="C3" s="4"/>
      <c r="D3" s="37">
        <v>2</v>
      </c>
      <c r="E3" s="37">
        <v>1</v>
      </c>
      <c r="F3" s="36">
        <f t="shared" ref="F3:F26" si="0">D3*E3</f>
        <v>2</v>
      </c>
      <c r="G3" s="36" t="s">
        <v>15</v>
      </c>
      <c r="I3" s="38">
        <v>0.02</v>
      </c>
      <c r="J3" s="5">
        <v>1</v>
      </c>
    </row>
    <row r="4" spans="1:10" x14ac:dyDescent="0.3">
      <c r="A4" s="6">
        <v>3</v>
      </c>
      <c r="B4" s="4" t="s">
        <v>14</v>
      </c>
      <c r="C4" s="4"/>
      <c r="D4" s="37">
        <v>3</v>
      </c>
      <c r="E4" s="37">
        <v>1</v>
      </c>
      <c r="F4" s="36">
        <f t="shared" si="0"/>
        <v>3</v>
      </c>
      <c r="G4" s="36" t="s">
        <v>15</v>
      </c>
      <c r="I4" s="38">
        <v>0.03</v>
      </c>
      <c r="J4" s="5">
        <v>1</v>
      </c>
    </row>
    <row r="5" spans="1:10" x14ac:dyDescent="0.3">
      <c r="A5" s="6">
        <v>4</v>
      </c>
      <c r="B5" s="4" t="s">
        <v>24</v>
      </c>
      <c r="C5" s="4"/>
      <c r="D5" s="37">
        <v>4</v>
      </c>
      <c r="E5" s="37">
        <v>1</v>
      </c>
      <c r="F5" s="36">
        <f t="shared" si="0"/>
        <v>4</v>
      </c>
      <c r="G5" s="36" t="s">
        <v>15</v>
      </c>
      <c r="I5" s="38">
        <v>0.04</v>
      </c>
      <c r="J5" s="5">
        <v>1</v>
      </c>
    </row>
    <row r="6" spans="1:10" x14ac:dyDescent="0.3">
      <c r="A6" s="6">
        <v>5</v>
      </c>
      <c r="B6" s="7" t="s">
        <v>25</v>
      </c>
      <c r="C6" s="4"/>
      <c r="D6" s="37">
        <v>5</v>
      </c>
      <c r="E6" s="37">
        <v>1</v>
      </c>
      <c r="F6" s="36">
        <f t="shared" si="0"/>
        <v>5</v>
      </c>
      <c r="G6" s="36" t="s">
        <v>17</v>
      </c>
      <c r="I6" s="38">
        <v>0.05</v>
      </c>
      <c r="J6" s="5">
        <v>1</v>
      </c>
    </row>
    <row r="7" spans="1:10" x14ac:dyDescent="0.3">
      <c r="A7" s="6"/>
      <c r="B7" s="7"/>
      <c r="C7" s="4"/>
      <c r="D7" s="37">
        <v>1</v>
      </c>
      <c r="E7" s="37">
        <v>2</v>
      </c>
      <c r="F7" s="36">
        <f t="shared" si="0"/>
        <v>2</v>
      </c>
      <c r="G7" s="36" t="s">
        <v>15</v>
      </c>
      <c r="I7" s="38">
        <v>0.06</v>
      </c>
      <c r="J7" s="5">
        <v>2</v>
      </c>
    </row>
    <row r="8" spans="1:10" x14ac:dyDescent="0.3">
      <c r="A8" s="8" t="s">
        <v>16</v>
      </c>
      <c r="B8" s="7"/>
      <c r="C8" s="4"/>
      <c r="D8" s="37">
        <v>2</v>
      </c>
      <c r="E8" s="37">
        <v>2</v>
      </c>
      <c r="F8" s="36">
        <f t="shared" si="0"/>
        <v>4</v>
      </c>
      <c r="G8" s="36" t="s">
        <v>15</v>
      </c>
      <c r="I8" s="38">
        <v>7.0000000000000007E-2</v>
      </c>
      <c r="J8" s="5">
        <v>2</v>
      </c>
    </row>
    <row r="9" spans="1:10" x14ac:dyDescent="0.3">
      <c r="A9" s="6">
        <v>1</v>
      </c>
      <c r="B9" s="7" t="s">
        <v>26</v>
      </c>
      <c r="C9" s="4"/>
      <c r="D9" s="37">
        <v>3</v>
      </c>
      <c r="E9" s="37">
        <v>2</v>
      </c>
      <c r="F9" s="36">
        <f t="shared" si="0"/>
        <v>6</v>
      </c>
      <c r="G9" s="36" t="s">
        <v>17</v>
      </c>
      <c r="I9" s="38">
        <v>0.08</v>
      </c>
      <c r="J9" s="5">
        <v>2</v>
      </c>
    </row>
    <row r="10" spans="1:10" x14ac:dyDescent="0.3">
      <c r="A10" s="6">
        <v>2</v>
      </c>
      <c r="B10" s="7" t="s">
        <v>27</v>
      </c>
      <c r="C10" s="4"/>
      <c r="D10" s="37">
        <v>4</v>
      </c>
      <c r="E10" s="37">
        <v>2</v>
      </c>
      <c r="F10" s="36">
        <f t="shared" si="0"/>
        <v>8</v>
      </c>
      <c r="G10" s="36" t="s">
        <v>17</v>
      </c>
      <c r="I10" s="38">
        <v>0.09</v>
      </c>
      <c r="J10" s="5">
        <v>2</v>
      </c>
    </row>
    <row r="11" spans="1:10" x14ac:dyDescent="0.3">
      <c r="A11" s="6">
        <v>3</v>
      </c>
      <c r="B11" s="4" t="s">
        <v>18</v>
      </c>
      <c r="C11" s="4"/>
      <c r="D11" s="37">
        <v>5</v>
      </c>
      <c r="E11" s="37">
        <v>2</v>
      </c>
      <c r="F11" s="36">
        <f t="shared" si="0"/>
        <v>10</v>
      </c>
      <c r="G11" s="36" t="s">
        <v>17</v>
      </c>
      <c r="I11" s="38">
        <v>0.1</v>
      </c>
      <c r="J11" s="5">
        <v>2</v>
      </c>
    </row>
    <row r="12" spans="1:10" x14ac:dyDescent="0.3">
      <c r="A12" s="6">
        <v>4</v>
      </c>
      <c r="B12" s="7" t="s">
        <v>19</v>
      </c>
      <c r="C12" s="4"/>
      <c r="D12" s="37">
        <v>1</v>
      </c>
      <c r="E12" s="37">
        <v>3</v>
      </c>
      <c r="F12" s="36">
        <f t="shared" si="0"/>
        <v>3</v>
      </c>
      <c r="G12" s="36" t="s">
        <v>15</v>
      </c>
      <c r="I12" s="38">
        <v>0.11</v>
      </c>
      <c r="J12" s="5">
        <v>2</v>
      </c>
    </row>
    <row r="13" spans="1:10" x14ac:dyDescent="0.3">
      <c r="A13" s="5">
        <v>5</v>
      </c>
      <c r="B13" s="5" t="s">
        <v>28</v>
      </c>
      <c r="C13" s="4"/>
      <c r="D13" s="37">
        <v>2</v>
      </c>
      <c r="E13" s="37">
        <v>3</v>
      </c>
      <c r="F13" s="36">
        <f t="shared" si="0"/>
        <v>6</v>
      </c>
      <c r="G13" s="36" t="s">
        <v>17</v>
      </c>
      <c r="I13" s="38">
        <v>0.12</v>
      </c>
      <c r="J13" s="5">
        <v>2</v>
      </c>
    </row>
    <row r="14" spans="1:10" x14ac:dyDescent="0.3">
      <c r="C14" s="4"/>
      <c r="D14" s="37">
        <v>3</v>
      </c>
      <c r="E14" s="37">
        <v>3</v>
      </c>
      <c r="F14" s="36">
        <f t="shared" si="0"/>
        <v>9</v>
      </c>
      <c r="G14" s="36" t="s">
        <v>17</v>
      </c>
      <c r="I14" s="38">
        <v>0.13</v>
      </c>
      <c r="J14" s="5">
        <v>2</v>
      </c>
    </row>
    <row r="15" spans="1:10" x14ac:dyDescent="0.3">
      <c r="A15" s="8" t="s">
        <v>20</v>
      </c>
      <c r="B15" s="7"/>
      <c r="C15" s="4"/>
      <c r="D15" s="37">
        <v>4</v>
      </c>
      <c r="E15" s="37">
        <v>3</v>
      </c>
      <c r="F15" s="36">
        <f t="shared" si="0"/>
        <v>12</v>
      </c>
      <c r="G15" s="36" t="s">
        <v>21</v>
      </c>
      <c r="I15" s="38">
        <v>0.14000000000000001</v>
      </c>
      <c r="J15" s="5">
        <v>2</v>
      </c>
    </row>
    <row r="16" spans="1:10" x14ac:dyDescent="0.3">
      <c r="A16" s="6">
        <v>1</v>
      </c>
      <c r="B16" s="7" t="s">
        <v>26</v>
      </c>
      <c r="C16" s="4"/>
      <c r="D16" s="37">
        <v>5</v>
      </c>
      <c r="E16" s="37">
        <v>3</v>
      </c>
      <c r="F16" s="36">
        <f t="shared" si="0"/>
        <v>15</v>
      </c>
      <c r="G16" s="36" t="s">
        <v>21</v>
      </c>
      <c r="I16" s="38">
        <v>0.15</v>
      </c>
      <c r="J16" s="5">
        <v>2</v>
      </c>
    </row>
    <row r="17" spans="1:10" x14ac:dyDescent="0.3">
      <c r="A17" s="6">
        <v>2</v>
      </c>
      <c r="B17" s="7" t="s">
        <v>27</v>
      </c>
      <c r="C17" s="4"/>
      <c r="D17" s="37">
        <v>1</v>
      </c>
      <c r="E17" s="37">
        <v>4</v>
      </c>
      <c r="F17" s="36">
        <f t="shared" si="0"/>
        <v>4</v>
      </c>
      <c r="G17" s="36" t="s">
        <v>15</v>
      </c>
      <c r="I17" s="38">
        <v>0.16</v>
      </c>
      <c r="J17" s="5">
        <v>2</v>
      </c>
    </row>
    <row r="18" spans="1:10" x14ac:dyDescent="0.3">
      <c r="A18" s="6">
        <v>3</v>
      </c>
      <c r="B18" s="4" t="s">
        <v>18</v>
      </c>
      <c r="C18" s="4"/>
      <c r="D18" s="37">
        <v>2</v>
      </c>
      <c r="E18" s="37">
        <v>4</v>
      </c>
      <c r="F18" s="36">
        <f t="shared" si="0"/>
        <v>8</v>
      </c>
      <c r="G18" s="36" t="s">
        <v>17</v>
      </c>
      <c r="I18" s="38">
        <v>0.17</v>
      </c>
      <c r="J18" s="5">
        <v>2</v>
      </c>
    </row>
    <row r="19" spans="1:10" x14ac:dyDescent="0.3">
      <c r="A19" s="6">
        <v>4</v>
      </c>
      <c r="B19" s="7" t="s">
        <v>19</v>
      </c>
      <c r="C19" s="4"/>
      <c r="D19" s="37">
        <v>3</v>
      </c>
      <c r="E19" s="37">
        <v>4</v>
      </c>
      <c r="F19" s="36">
        <f t="shared" si="0"/>
        <v>12</v>
      </c>
      <c r="G19" s="36" t="s">
        <v>21</v>
      </c>
      <c r="I19" s="38">
        <v>0.18</v>
      </c>
      <c r="J19" s="5">
        <v>2</v>
      </c>
    </row>
    <row r="20" spans="1:10" x14ac:dyDescent="0.3">
      <c r="A20" s="5">
        <v>5</v>
      </c>
      <c r="B20" s="5" t="s">
        <v>28</v>
      </c>
      <c r="C20" s="4"/>
      <c r="D20" s="37">
        <v>4</v>
      </c>
      <c r="E20" s="37">
        <v>4</v>
      </c>
      <c r="F20" s="36">
        <f t="shared" si="0"/>
        <v>16</v>
      </c>
      <c r="G20" s="36" t="s">
        <v>21</v>
      </c>
      <c r="I20" s="38">
        <v>0.19</v>
      </c>
      <c r="J20" s="5">
        <v>2</v>
      </c>
    </row>
    <row r="21" spans="1:10" x14ac:dyDescent="0.3">
      <c r="C21" s="4"/>
      <c r="D21" s="37">
        <v>5</v>
      </c>
      <c r="E21" s="37">
        <v>4</v>
      </c>
      <c r="F21" s="36">
        <f t="shared" si="0"/>
        <v>20</v>
      </c>
      <c r="G21" s="36" t="s">
        <v>21</v>
      </c>
      <c r="I21" s="38">
        <v>0.2</v>
      </c>
      <c r="J21" s="5">
        <v>2</v>
      </c>
    </row>
    <row r="22" spans="1:10" x14ac:dyDescent="0.3">
      <c r="C22" s="4"/>
      <c r="D22" s="37">
        <v>1</v>
      </c>
      <c r="E22" s="37">
        <v>5</v>
      </c>
      <c r="F22" s="36">
        <f t="shared" si="0"/>
        <v>5</v>
      </c>
      <c r="G22" s="36" t="s">
        <v>17</v>
      </c>
      <c r="I22" s="38">
        <v>0.21</v>
      </c>
      <c r="J22" s="5">
        <v>3</v>
      </c>
    </row>
    <row r="23" spans="1:10" x14ac:dyDescent="0.3">
      <c r="C23" s="4"/>
      <c r="D23" s="37">
        <v>2</v>
      </c>
      <c r="E23" s="37">
        <v>5</v>
      </c>
      <c r="F23" s="36">
        <f t="shared" si="0"/>
        <v>10</v>
      </c>
      <c r="G23" s="36" t="s">
        <v>17</v>
      </c>
      <c r="I23" s="38">
        <v>0.22</v>
      </c>
      <c r="J23" s="5">
        <v>3</v>
      </c>
    </row>
    <row r="24" spans="1:10" x14ac:dyDescent="0.3">
      <c r="C24" s="4"/>
      <c r="D24" s="37">
        <v>3</v>
      </c>
      <c r="E24" s="37">
        <v>5</v>
      </c>
      <c r="F24" s="36">
        <f t="shared" si="0"/>
        <v>15</v>
      </c>
      <c r="G24" s="36" t="s">
        <v>21</v>
      </c>
      <c r="I24" s="38">
        <v>0.23</v>
      </c>
      <c r="J24" s="5">
        <v>3</v>
      </c>
    </row>
    <row r="25" spans="1:10" x14ac:dyDescent="0.3">
      <c r="C25" s="4"/>
      <c r="D25" s="37">
        <v>4</v>
      </c>
      <c r="E25" s="37">
        <v>5</v>
      </c>
      <c r="F25" s="36">
        <f t="shared" si="0"/>
        <v>20</v>
      </c>
      <c r="G25" s="36" t="s">
        <v>21</v>
      </c>
      <c r="I25" s="38">
        <v>0.24</v>
      </c>
      <c r="J25" s="5">
        <v>3</v>
      </c>
    </row>
    <row r="26" spans="1:10" x14ac:dyDescent="0.3">
      <c r="C26" s="4"/>
      <c r="D26" s="37">
        <v>5</v>
      </c>
      <c r="E26" s="37">
        <v>5</v>
      </c>
      <c r="F26" s="36">
        <f t="shared" si="0"/>
        <v>25</v>
      </c>
      <c r="G26" s="37" t="s">
        <v>91</v>
      </c>
      <c r="I26" s="38">
        <v>0.25</v>
      </c>
      <c r="J26" s="5">
        <v>3</v>
      </c>
    </row>
    <row r="27" spans="1:10" x14ac:dyDescent="0.3">
      <c r="I27" s="38">
        <v>0.26</v>
      </c>
      <c r="J27" s="5">
        <v>3</v>
      </c>
    </row>
    <row r="28" spans="1:10" x14ac:dyDescent="0.3">
      <c r="I28" s="38">
        <v>0.27</v>
      </c>
      <c r="J28" s="5">
        <v>3</v>
      </c>
    </row>
    <row r="29" spans="1:10" x14ac:dyDescent="0.3">
      <c r="I29" s="38">
        <v>0.28000000000000003</v>
      </c>
      <c r="J29" s="5">
        <v>3</v>
      </c>
    </row>
    <row r="30" spans="1:10" x14ac:dyDescent="0.3">
      <c r="I30" s="38">
        <v>0.28999999999999998</v>
      </c>
      <c r="J30" s="5">
        <v>3</v>
      </c>
    </row>
    <row r="31" spans="1:10" x14ac:dyDescent="0.3">
      <c r="I31" s="38">
        <v>0.3</v>
      </c>
      <c r="J31" s="5">
        <v>3</v>
      </c>
    </row>
    <row r="32" spans="1:10" x14ac:dyDescent="0.3">
      <c r="I32" s="38">
        <v>0.31</v>
      </c>
      <c r="J32" s="5">
        <v>3</v>
      </c>
    </row>
    <row r="33" spans="9:10" x14ac:dyDescent="0.3">
      <c r="I33" s="38">
        <v>0.32</v>
      </c>
      <c r="J33" s="5">
        <v>3</v>
      </c>
    </row>
    <row r="34" spans="9:10" x14ac:dyDescent="0.3">
      <c r="I34" s="38">
        <v>0.33</v>
      </c>
      <c r="J34" s="5">
        <v>3</v>
      </c>
    </row>
    <row r="35" spans="9:10" x14ac:dyDescent="0.3">
      <c r="I35" s="38">
        <v>0.34</v>
      </c>
      <c r="J35" s="5">
        <v>3</v>
      </c>
    </row>
    <row r="36" spans="9:10" x14ac:dyDescent="0.3">
      <c r="I36" s="38">
        <v>0.35</v>
      </c>
      <c r="J36" s="5">
        <v>3</v>
      </c>
    </row>
    <row r="37" spans="9:10" x14ac:dyDescent="0.3">
      <c r="I37" s="38">
        <v>0.36</v>
      </c>
      <c r="J37" s="5">
        <v>3</v>
      </c>
    </row>
    <row r="38" spans="9:10" x14ac:dyDescent="0.3">
      <c r="I38" s="38">
        <v>0.37</v>
      </c>
      <c r="J38" s="5">
        <v>3</v>
      </c>
    </row>
    <row r="39" spans="9:10" x14ac:dyDescent="0.3">
      <c r="I39" s="38">
        <v>0.38</v>
      </c>
      <c r="J39" s="5">
        <v>3</v>
      </c>
    </row>
    <row r="40" spans="9:10" x14ac:dyDescent="0.3">
      <c r="I40" s="38">
        <v>0.39</v>
      </c>
      <c r="J40" s="5">
        <v>3</v>
      </c>
    </row>
    <row r="41" spans="9:10" x14ac:dyDescent="0.3">
      <c r="I41" s="38">
        <v>0.4</v>
      </c>
      <c r="J41" s="5">
        <v>3</v>
      </c>
    </row>
    <row r="42" spans="9:10" x14ac:dyDescent="0.3">
      <c r="I42" s="38">
        <v>0.41</v>
      </c>
      <c r="J42" s="5">
        <v>3</v>
      </c>
    </row>
    <row r="43" spans="9:10" x14ac:dyDescent="0.3">
      <c r="I43" s="38">
        <v>0.42</v>
      </c>
      <c r="J43" s="5">
        <v>3</v>
      </c>
    </row>
    <row r="44" spans="9:10" x14ac:dyDescent="0.3">
      <c r="I44" s="38">
        <v>0.43</v>
      </c>
      <c r="J44" s="5">
        <v>3</v>
      </c>
    </row>
    <row r="45" spans="9:10" x14ac:dyDescent="0.3">
      <c r="I45" s="38">
        <v>0.44</v>
      </c>
      <c r="J45" s="5">
        <v>3</v>
      </c>
    </row>
    <row r="46" spans="9:10" x14ac:dyDescent="0.3">
      <c r="I46" s="38">
        <v>0.45</v>
      </c>
      <c r="J46" s="5">
        <v>3</v>
      </c>
    </row>
    <row r="47" spans="9:10" x14ac:dyDescent="0.3">
      <c r="I47" s="38">
        <v>0.46</v>
      </c>
      <c r="J47" s="5">
        <v>3</v>
      </c>
    </row>
    <row r="48" spans="9:10" x14ac:dyDescent="0.3">
      <c r="I48" s="38">
        <v>0.47</v>
      </c>
      <c r="J48" s="5">
        <v>3</v>
      </c>
    </row>
    <row r="49" spans="9:10" x14ac:dyDescent="0.3">
      <c r="I49" s="38">
        <v>0.48</v>
      </c>
      <c r="J49" s="5">
        <v>3</v>
      </c>
    </row>
    <row r="50" spans="9:10" x14ac:dyDescent="0.3">
      <c r="I50" s="38">
        <v>0.49</v>
      </c>
      <c r="J50" s="5">
        <v>3</v>
      </c>
    </row>
    <row r="51" spans="9:10" x14ac:dyDescent="0.3">
      <c r="I51" s="38">
        <v>0.5</v>
      </c>
      <c r="J51" s="5">
        <v>3</v>
      </c>
    </row>
    <row r="52" spans="9:10" x14ac:dyDescent="0.3">
      <c r="I52" s="38">
        <v>0.51</v>
      </c>
      <c r="J52" s="5">
        <v>4</v>
      </c>
    </row>
    <row r="53" spans="9:10" x14ac:dyDescent="0.3">
      <c r="I53" s="38">
        <v>0.52</v>
      </c>
      <c r="J53" s="5">
        <v>4</v>
      </c>
    </row>
    <row r="54" spans="9:10" x14ac:dyDescent="0.3">
      <c r="I54" s="38">
        <v>0.53</v>
      </c>
      <c r="J54" s="5">
        <v>4</v>
      </c>
    </row>
    <row r="55" spans="9:10" x14ac:dyDescent="0.3">
      <c r="I55" s="38">
        <v>0.54</v>
      </c>
      <c r="J55" s="5">
        <v>4</v>
      </c>
    </row>
    <row r="56" spans="9:10" x14ac:dyDescent="0.3">
      <c r="I56" s="38">
        <v>0.55000000000000004</v>
      </c>
      <c r="J56" s="5">
        <v>4</v>
      </c>
    </row>
    <row r="57" spans="9:10" x14ac:dyDescent="0.3">
      <c r="I57" s="38">
        <v>0.56000000000000005</v>
      </c>
      <c r="J57" s="5">
        <v>4</v>
      </c>
    </row>
    <row r="58" spans="9:10" x14ac:dyDescent="0.3">
      <c r="I58" s="38">
        <v>0.56999999999999995</v>
      </c>
      <c r="J58" s="5">
        <v>4</v>
      </c>
    </row>
    <row r="59" spans="9:10" x14ac:dyDescent="0.3">
      <c r="I59" s="38">
        <v>0.57999999999999996</v>
      </c>
      <c r="J59" s="5">
        <v>4</v>
      </c>
    </row>
    <row r="60" spans="9:10" x14ac:dyDescent="0.3">
      <c r="I60" s="38">
        <v>0.59</v>
      </c>
      <c r="J60" s="5">
        <v>4</v>
      </c>
    </row>
    <row r="61" spans="9:10" x14ac:dyDescent="0.3">
      <c r="I61" s="38">
        <v>0.6</v>
      </c>
      <c r="J61" s="5">
        <v>4</v>
      </c>
    </row>
    <row r="62" spans="9:10" x14ac:dyDescent="0.3">
      <c r="I62" s="38">
        <v>0.61</v>
      </c>
      <c r="J62" s="5">
        <v>4</v>
      </c>
    </row>
    <row r="63" spans="9:10" x14ac:dyDescent="0.3">
      <c r="I63" s="38">
        <v>0.62</v>
      </c>
      <c r="J63" s="5">
        <v>4</v>
      </c>
    </row>
    <row r="64" spans="9:10" x14ac:dyDescent="0.3">
      <c r="I64" s="38">
        <v>0.63</v>
      </c>
      <c r="J64" s="5">
        <v>4</v>
      </c>
    </row>
    <row r="65" spans="9:10" x14ac:dyDescent="0.3">
      <c r="I65" s="38">
        <v>0.64</v>
      </c>
      <c r="J65" s="5">
        <v>4</v>
      </c>
    </row>
    <row r="66" spans="9:10" x14ac:dyDescent="0.3">
      <c r="I66" s="38">
        <v>0.65</v>
      </c>
      <c r="J66" s="5">
        <v>4</v>
      </c>
    </row>
    <row r="67" spans="9:10" x14ac:dyDescent="0.3">
      <c r="I67" s="38">
        <v>0.66</v>
      </c>
      <c r="J67" s="5">
        <v>4</v>
      </c>
    </row>
    <row r="68" spans="9:10" x14ac:dyDescent="0.3">
      <c r="I68" s="38">
        <v>0.67</v>
      </c>
      <c r="J68" s="5">
        <v>4</v>
      </c>
    </row>
    <row r="69" spans="9:10" x14ac:dyDescent="0.3">
      <c r="I69" s="38">
        <v>0.68</v>
      </c>
      <c r="J69" s="5">
        <v>4</v>
      </c>
    </row>
    <row r="70" spans="9:10" x14ac:dyDescent="0.3">
      <c r="I70" s="38">
        <v>0.69</v>
      </c>
      <c r="J70" s="5">
        <v>4</v>
      </c>
    </row>
    <row r="71" spans="9:10" x14ac:dyDescent="0.3">
      <c r="I71" s="38">
        <v>0.7</v>
      </c>
      <c r="J71" s="5">
        <v>4</v>
      </c>
    </row>
    <row r="72" spans="9:10" x14ac:dyDescent="0.3">
      <c r="I72" s="38">
        <v>0.71</v>
      </c>
      <c r="J72" s="5">
        <v>5</v>
      </c>
    </row>
    <row r="73" spans="9:10" x14ac:dyDescent="0.3">
      <c r="I73" s="38">
        <v>0.72</v>
      </c>
      <c r="J73" s="5">
        <v>5</v>
      </c>
    </row>
    <row r="74" spans="9:10" x14ac:dyDescent="0.3">
      <c r="I74" s="38">
        <v>0.73</v>
      </c>
      <c r="J74" s="5">
        <v>5</v>
      </c>
    </row>
    <row r="75" spans="9:10" x14ac:dyDescent="0.3">
      <c r="I75" s="38">
        <v>0.74</v>
      </c>
      <c r="J75" s="5">
        <v>5</v>
      </c>
    </row>
    <row r="76" spans="9:10" x14ac:dyDescent="0.3">
      <c r="I76" s="38">
        <v>0.75</v>
      </c>
      <c r="J76" s="5">
        <v>5</v>
      </c>
    </row>
    <row r="77" spans="9:10" x14ac:dyDescent="0.3">
      <c r="I77" s="38">
        <v>0.76</v>
      </c>
      <c r="J77" s="5">
        <v>5</v>
      </c>
    </row>
    <row r="78" spans="9:10" x14ac:dyDescent="0.3">
      <c r="I78" s="38">
        <v>0.77</v>
      </c>
      <c r="J78" s="5">
        <v>5</v>
      </c>
    </row>
    <row r="79" spans="9:10" x14ac:dyDescent="0.3">
      <c r="I79" s="38">
        <v>0.78</v>
      </c>
      <c r="J79" s="5">
        <v>5</v>
      </c>
    </row>
    <row r="80" spans="9:10" x14ac:dyDescent="0.3">
      <c r="I80" s="38">
        <v>0.79</v>
      </c>
      <c r="J80" s="5">
        <v>5</v>
      </c>
    </row>
    <row r="81" spans="9:10" x14ac:dyDescent="0.3">
      <c r="I81" s="38">
        <v>0.8</v>
      </c>
      <c r="J81" s="5">
        <v>5</v>
      </c>
    </row>
    <row r="82" spans="9:10" x14ac:dyDescent="0.3">
      <c r="I82" s="38">
        <v>0.81</v>
      </c>
      <c r="J82" s="5">
        <v>5</v>
      </c>
    </row>
    <row r="83" spans="9:10" x14ac:dyDescent="0.3">
      <c r="I83" s="38">
        <v>0.82</v>
      </c>
      <c r="J83" s="5">
        <v>5</v>
      </c>
    </row>
    <row r="84" spans="9:10" x14ac:dyDescent="0.3">
      <c r="I84" s="38">
        <v>0.83</v>
      </c>
      <c r="J84" s="5">
        <v>5</v>
      </c>
    </row>
    <row r="85" spans="9:10" x14ac:dyDescent="0.3">
      <c r="I85" s="38">
        <v>0.84</v>
      </c>
      <c r="J85" s="5">
        <v>5</v>
      </c>
    </row>
    <row r="86" spans="9:10" x14ac:dyDescent="0.3">
      <c r="I86" s="38">
        <v>0.85</v>
      </c>
      <c r="J86" s="5">
        <v>5</v>
      </c>
    </row>
    <row r="87" spans="9:10" x14ac:dyDescent="0.3">
      <c r="I87" s="38">
        <v>0.86</v>
      </c>
      <c r="J87" s="5">
        <v>5</v>
      </c>
    </row>
    <row r="88" spans="9:10" x14ac:dyDescent="0.3">
      <c r="I88" s="38">
        <v>0.87</v>
      </c>
      <c r="J88" s="5">
        <v>5</v>
      </c>
    </row>
    <row r="89" spans="9:10" x14ac:dyDescent="0.3">
      <c r="I89" s="38">
        <v>0.88</v>
      </c>
      <c r="J89" s="5">
        <v>5</v>
      </c>
    </row>
    <row r="90" spans="9:10" x14ac:dyDescent="0.3">
      <c r="I90" s="38">
        <v>0.89</v>
      </c>
      <c r="J90" s="5">
        <v>5</v>
      </c>
    </row>
    <row r="91" spans="9:10" x14ac:dyDescent="0.3">
      <c r="I91" s="38">
        <v>0.9</v>
      </c>
      <c r="J91" s="5">
        <v>5</v>
      </c>
    </row>
    <row r="92" spans="9:10" x14ac:dyDescent="0.3">
      <c r="I92" s="38">
        <v>0.91</v>
      </c>
      <c r="J92" s="5">
        <v>5</v>
      </c>
    </row>
    <row r="93" spans="9:10" x14ac:dyDescent="0.3">
      <c r="I93" s="38">
        <v>0.92</v>
      </c>
      <c r="J93" s="5">
        <v>5</v>
      </c>
    </row>
    <row r="94" spans="9:10" x14ac:dyDescent="0.3">
      <c r="I94" s="38">
        <v>0.93</v>
      </c>
      <c r="J94" s="5">
        <v>5</v>
      </c>
    </row>
    <row r="95" spans="9:10" x14ac:dyDescent="0.3">
      <c r="I95" s="38">
        <v>0.94</v>
      </c>
      <c r="J95" s="5">
        <v>5</v>
      </c>
    </row>
    <row r="96" spans="9:10" x14ac:dyDescent="0.3">
      <c r="I96" s="38">
        <v>0.95</v>
      </c>
      <c r="J96" s="5">
        <v>5</v>
      </c>
    </row>
    <row r="97" spans="9:10" x14ac:dyDescent="0.3">
      <c r="I97" s="38">
        <v>0.96</v>
      </c>
      <c r="J97" s="5">
        <v>5</v>
      </c>
    </row>
    <row r="98" spans="9:10" x14ac:dyDescent="0.3">
      <c r="I98" s="38">
        <v>0.97</v>
      </c>
      <c r="J98" s="5">
        <v>5</v>
      </c>
    </row>
    <row r="99" spans="9:10" x14ac:dyDescent="0.3">
      <c r="I99" s="38">
        <v>0.98</v>
      </c>
      <c r="J99" s="5">
        <v>5</v>
      </c>
    </row>
    <row r="100" spans="9:10" x14ac:dyDescent="0.3">
      <c r="I100" s="38">
        <v>0.99</v>
      </c>
      <c r="J100" s="5">
        <v>5</v>
      </c>
    </row>
    <row r="101" spans="9:10" x14ac:dyDescent="0.3">
      <c r="I101" s="38">
        <v>1</v>
      </c>
      <c r="J101" s="5">
        <v>5</v>
      </c>
    </row>
  </sheetData>
  <mergeCells count="2">
    <mergeCell ref="F1:G1"/>
    <mergeCell ref="I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CLIENTE</vt:lpstr>
      <vt:lpstr>Data cliente</vt:lpstr>
      <vt:lpstr>PASIVO</vt:lpstr>
      <vt:lpstr>Data pasivo</vt:lpstr>
      <vt:lpstr>SERVICIOS</vt:lpstr>
      <vt:lpstr>Data servicios</vt:lpstr>
      <vt:lpstr>ZG</vt:lpstr>
      <vt:lpstr>Data ZG</vt:lpstr>
      <vt:lpstr>EMPRESA </vt:lpstr>
      <vt:lpstr>RANGOS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García</dc:creator>
  <cp:lastModifiedBy>carlos herrera palma</cp:lastModifiedBy>
  <dcterms:created xsi:type="dcterms:W3CDTF">2015-07-22T17:29:34Z</dcterms:created>
  <dcterms:modified xsi:type="dcterms:W3CDTF">2026-04-17T23:00:33Z</dcterms:modified>
</cp:coreProperties>
</file>