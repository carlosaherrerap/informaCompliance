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_Projects\antiDark\docs\"/>
    </mc:Choice>
  </mc:AlternateContent>
  <xr:revisionPtr revIDLastSave="0" documentId="13_ncr:1_{F801E65A-CFC9-45A1-8759-A9AC6E7929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triz de Riesgos" sheetId="1" r:id="rId1"/>
    <sheet name="Parámetros" sheetId="7" state="hidden" r:id="rId2"/>
    <sheet name="Mapa de calor" sheetId="10" r:id="rId3"/>
    <sheet name="Multas" sheetId="6" state="hidden" r:id="rId4"/>
    <sheet name="Eventos" sheetId="8" r:id="rId5"/>
  </sheets>
  <externalReferences>
    <externalReference r:id="rId6"/>
    <externalReference r:id="rId7"/>
    <externalReference r:id="rId8"/>
  </externalReferences>
  <definedNames>
    <definedName name="_xlnm._FilterDatabase" localSheetId="4" hidden="1">Eventos!$B$3:$AZ$7</definedName>
    <definedName name="_xlnm._FilterDatabase" localSheetId="0" hidden="1">'Matriz de Riesgos'!$A$7:$AQ$9</definedName>
    <definedName name="_xlnm._FilterDatabase" localSheetId="1" hidden="1">Parámetros!$B$2:$K$201</definedName>
    <definedName name="Administración_de_Tasas_y_Tarifas">Parámetros!#REF!</definedName>
    <definedName name="Administración_patrimonial">Parámetros!#REF!</definedName>
    <definedName name="Administración_y_Canje_de_Cheques">Parámetros!#REF!</definedName>
    <definedName name="Adquisiciones">Parámetros!#REF!</definedName>
    <definedName name="Banca_corresponsal">Parámetros!#REF!</definedName>
    <definedName name="Captación_de_Productos">Parámetros!#REF!</definedName>
    <definedName name="CARACTERIZACION">[1]CARACTERIZACION!$F$3:$K$144</definedName>
    <definedName name="CAUSAL">[1]TABLAS!$H$3:$I$9</definedName>
    <definedName name="Clasificación_de_Cartera_y_Gestión_de_Provisiones">Parámetros!#REF!</definedName>
    <definedName name="Clientes">Parámetros!$E$6:$E$7</definedName>
    <definedName name="Clientes_productos_y_prácticas_empresariales">Parámetros!$N$14:$N$18</definedName>
    <definedName name="Colocaciones">Parámetros!$E$13:$E$17</definedName>
    <definedName name="Compensaciones_del_Colaborador">Parámetros!#REF!</definedName>
    <definedName name="Compra_de_Cartera">Parámetros!#REF!</definedName>
    <definedName name="Control_Interno">Parámetros!$E$59:$E$61</definedName>
    <definedName name="Control_Presupuestal">Parámetros!$E$5</definedName>
    <definedName name="Daños_a_activos_materiales">Parámetros!$N$20:$N$20</definedName>
    <definedName name="Desarrollo_de_Software">Parámetros!#REF!</definedName>
    <definedName name="Desarrollo_y_Administración_del_Presupuesto">Parámetros!#REF!</definedName>
    <definedName name="Ejecución_entrega_y_gestión_de_procesos">Parámetros!$N$24:$N$29</definedName>
    <definedName name="Fondeo">Parámetros!$E$8:$E$10</definedName>
    <definedName name="Fondeo_de_Recursos">Parámetros!#REF!</definedName>
    <definedName name="Fraude_externo">Parámetros!$N$7:$N$8</definedName>
    <definedName name="Fraude_interno">Parámetros!$N$4:$N$5</definedName>
    <definedName name="Gestión_Contable">Parámetros!#REF!</definedName>
    <definedName name="Gestión_de_Administración">Parámetros!$E$40:$E$44</definedName>
    <definedName name="Gestión_de_Auditoría_Interna">Parámetros!#REF!</definedName>
    <definedName name="Gestión_de_Calidad_y_Servicio_al_Cliente">Parámetros!#REF!</definedName>
    <definedName name="Gestion_de_Cobranzas_Empresas">Parámetros!#REF!</definedName>
    <definedName name="Gestión_de_Cobranzas_Personas">Parámetros!#REF!</definedName>
    <definedName name="Gestión_de_Cobranzas_y_Recuperaciones">Parámetros!$E$57:$E$58</definedName>
    <definedName name="Gestión_de_Contratos">Parámetros!#REF!</definedName>
    <definedName name="Gestión_de_Cumplimiento_Normativo">Parámetros!#REF!</definedName>
    <definedName name="Gestión_de_Depósitos">Parámetros!#REF!</definedName>
    <definedName name="Gestión_de_digitalización_de_files">Parámetros!#REF!</definedName>
    <definedName name="Gestión_de_Dinero_y_Valorados">Parámetros!#REF!</definedName>
    <definedName name="Gestión_de_Embargos">Parámetros!#REF!</definedName>
    <definedName name="Gestión_de_Garantías">Parámetros!#REF!</definedName>
    <definedName name="Gestión_de_Gastos_e_Ingresos">Parámetros!#REF!</definedName>
    <definedName name="Gestión_de_Infraestructura">Parámetros!#REF!</definedName>
    <definedName name="Gestión_de_la_Continuidad_del_Negocio">Parámetros!#REF!</definedName>
    <definedName name="Gestión_de_Marketing">Parámetros!#REF!</definedName>
    <definedName name="Gestión_de_Operaciones">Parámetros!$E$45:$E$50</definedName>
    <definedName name="Gestión_de_Operaciones_de_TI">Parámetros!#REF!</definedName>
    <definedName name="Gestión_de_Planeamiento_Estratégico">Parámetros!#REF!</definedName>
    <definedName name="Gestión_de_Poderes">Parámetros!#REF!</definedName>
    <definedName name="Gestión_de_Prevención_de_Lavado_de_Activos">Parámetros!#REF!</definedName>
    <definedName name="Gestión_de_Procesos">Parámetros!$E$38:$E$39</definedName>
    <definedName name="Gestión_de_Procesos_Legales">Parámetros!#REF!</definedName>
    <definedName name="Gestión_de_Riesgo_Crediticio_y_Cambiario">Parámetros!#REF!</definedName>
    <definedName name="Gestión_de_Riesgo_Operacional">Parámetros!#REF!</definedName>
    <definedName name="Gestión_de_Riesgos">Parámetros!$E$22:$E$29</definedName>
    <definedName name="Gestión_de_RRHH">Parámetros!$E$35:$E$37</definedName>
    <definedName name="Gestión_de_Seguridad_de_la_Información">Parámetros!#REF!</definedName>
    <definedName name="Gestión_de_Seguros">Parámetros!#REF!</definedName>
    <definedName name="Gestión_de_Servicios_asociados_a_la_Banca_x_internet">Parámetros!#REF!</definedName>
    <definedName name="Gestión_de_Servicios_internos">Parámetros!#REF!</definedName>
    <definedName name="Gestión_de_Tecnología_de_Información">Parámetros!$E$51:$E$52</definedName>
    <definedName name="Gestión_de_Transferencias">Parámetros!#REF!</definedName>
    <definedName name="Gestión_del_Colaborador">Parámetros!#REF!</definedName>
    <definedName name="Gestión_del_Riesgo_Ambiental">Parámetros!#REF!</definedName>
    <definedName name="Gestión_del_Riesgo_de_Liquidez">Parámetros!#REF!</definedName>
    <definedName name="Gestión_del_Riesgo_de_Mercado">Parámetros!#REF!</definedName>
    <definedName name="Gestión_Financiera_y_Contable">Parámetros!$E$53:$E$56</definedName>
    <definedName name="Gestión_Legal">Parámetros!$E$30:$E$34</definedName>
    <definedName name="Gestión_Normativa">Parámetros!#REF!</definedName>
    <definedName name="Gestión_Operativa_de_Agencias">Parámetros!#REF!</definedName>
    <definedName name="Gestión_Operativa_de_ATMs">Parámetros!#REF!</definedName>
    <definedName name="Gestión_Operativa_de_Créditos">Parámetros!#REF!</definedName>
    <definedName name="Gestión_Secretaría_General">Parámetros!#REF!</definedName>
    <definedName name="Gestión_Tributaria">Parámetros!#REF!</definedName>
    <definedName name="Interrupción_del_negocio_y_fallos_en_los_sistemas">Parámetros!$N$22:$N$22</definedName>
    <definedName name="Inversiones_Financieras">Parámetros!#REF!</definedName>
    <definedName name="Inversiones_y_Mesa_de_Dinero">Parámetros!$E$11:$E$12</definedName>
    <definedName name="LINEANEG2">[2]Procesos!$A$28:$A$32</definedName>
    <definedName name="MACROPROCESO3">[2]Procesos!$B$2:$B$17</definedName>
    <definedName name="Mesa_de_Dinero">Parámetros!#REF!</definedName>
    <definedName name="Otorgamiento_de_Créditos">Parámetros!#REF!</definedName>
    <definedName name="Planeamiento_y_Desarrollo">Parámetros!$E$3:$E$4</definedName>
    <definedName name="Proceso">Parámetros!$E$3:$E$61</definedName>
    <definedName name="Proceso_de_atención_de_proyectos_y_requerimientos">Parámetros!#REF!</definedName>
    <definedName name="Recaudación">Parámetros!#REF!</definedName>
    <definedName name="Reclutamiento_y_selección_de_personal">Parámetros!#REF!</definedName>
    <definedName name="Relaciones_laborales_y_seguridad_en_el_puesto_de_trabajo">Parámetros!$N$10:$N$12</definedName>
    <definedName name="Servicios_Bancarios">Parámetros!$E$18:$E$21</definedName>
    <definedName name="SUBCAUSAL">[1]TABLAS!$K$3:$L$31</definedName>
    <definedName name="SUBCAUSALFILIAL">[1]TABLAS!$H$12:$I$31</definedName>
    <definedName name="Transaccionalidad">Parámetros!#REF!</definedName>
    <definedName name="Transaccionalidad_PostDesembolso">Parámetros!#REF!</definedName>
    <definedName name="Vinculación">Parámetros!#REF!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L9" i="1"/>
  <c r="L8" i="1"/>
  <c r="AH9" i="1"/>
  <c r="AH8" i="1"/>
  <c r="S3" i="7"/>
  <c r="T3" i="7" s="1"/>
  <c r="S4" i="7"/>
  <c r="S6" i="7"/>
  <c r="S5" i="7"/>
  <c r="AC8" i="1" l="1"/>
  <c r="AB8" i="1"/>
  <c r="AA8" i="1"/>
  <c r="Z8" i="1"/>
  <c r="Y8" i="1"/>
  <c r="X8" i="1"/>
  <c r="AD8" i="1" l="1"/>
  <c r="AJ8" i="1" l="1"/>
  <c r="AI8" i="1" s="1"/>
  <c r="AE8" i="1"/>
  <c r="AG8" i="1" l="1"/>
  <c r="I9" i="1"/>
  <c r="J9" i="1"/>
  <c r="G8" i="1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AF8" i="1" l="1"/>
  <c r="AL8" i="1" s="1"/>
  <c r="AK8" i="1"/>
  <c r="M8" i="1"/>
  <c r="AA19" i="7" l="1"/>
  <c r="Z19" i="7"/>
  <c r="Y19" i="7"/>
  <c r="X19" i="7"/>
  <c r="W19" i="7"/>
  <c r="G9" i="1"/>
  <c r="M9" i="1" s="1"/>
  <c r="AC9" i="1"/>
  <c r="AB9" i="1"/>
  <c r="AA9" i="1"/>
  <c r="Z9" i="1"/>
  <c r="Y9" i="1"/>
  <c r="X9" i="1"/>
  <c r="AD9" i="1" l="1"/>
  <c r="AG9" i="1" s="1"/>
  <c r="AJ9" i="1" l="1"/>
  <c r="AI9" i="1" s="1"/>
  <c r="AF9" i="1"/>
  <c r="AE9" i="1"/>
  <c r="AK9" i="1" l="1"/>
  <c r="AQ9" i="1"/>
  <c r="AQ8" i="1"/>
  <c r="AL9" i="1"/>
  <c r="D16" i="6"/>
  <c r="D31" i="6"/>
  <c r="Y24" i="7" l="1"/>
  <c r="Y22" i="7"/>
  <c r="Y25" i="7"/>
  <c r="Y23" i="7"/>
  <c r="Y21" i="7"/>
  <c r="AA25" i="7"/>
  <c r="AA23" i="7"/>
  <c r="AA21" i="7"/>
  <c r="AA24" i="7"/>
  <c r="AA22" i="7"/>
  <c r="W25" i="7"/>
  <c r="W23" i="7"/>
  <c r="W21" i="7"/>
  <c r="W24" i="7"/>
  <c r="W22" i="7"/>
  <c r="Z25" i="7"/>
  <c r="Z23" i="7"/>
  <c r="Z21" i="7"/>
  <c r="Z24" i="7"/>
  <c r="Z22" i="7"/>
  <c r="X24" i="7"/>
  <c r="X22" i="7"/>
  <c r="X25" i="7"/>
  <c r="X23" i="7"/>
  <c r="X21" i="7"/>
  <c r="H4" i="6" l="1"/>
  <c r="C5" i="6"/>
  <c r="H19" i="6" l="1"/>
  <c r="C2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Elkee Altamirano Constantino</author>
  </authors>
  <commentList>
    <comment ref="U7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Frecuencia adecuada de control
</t>
        </r>
      </text>
    </comment>
    <comment ref="V7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Si el control se lleva a cabo de acuerdo a lo establecido
</t>
        </r>
      </text>
    </comment>
  </commentList>
</comments>
</file>

<file path=xl/sharedStrings.xml><?xml version="1.0" encoding="utf-8"?>
<sst xmlns="http://schemas.openxmlformats.org/spreadsheetml/2006/main" count="801" uniqueCount="388">
  <si>
    <t>IdRiesgo</t>
  </si>
  <si>
    <t>Proceso</t>
  </si>
  <si>
    <t>Nombre Riesgo</t>
  </si>
  <si>
    <t>Detalle Riesgo</t>
  </si>
  <si>
    <t>Criterio Impacto</t>
  </si>
  <si>
    <t>Sustento Impacto</t>
  </si>
  <si>
    <t>Fraude interno</t>
  </si>
  <si>
    <t>Robo y fraude</t>
  </si>
  <si>
    <t>Muy Baja</t>
  </si>
  <si>
    <t>Insignificante</t>
  </si>
  <si>
    <t>Menor</t>
  </si>
  <si>
    <t>Gestión Operativa de Créditos</t>
  </si>
  <si>
    <t>Ejecución, entrega y gestión de procesos</t>
  </si>
  <si>
    <t>Recepción, ejecución y mantenimiento de operaciones</t>
  </si>
  <si>
    <t>Baja</t>
  </si>
  <si>
    <t>Fraude externo</t>
  </si>
  <si>
    <t>Clientes, productos y prácticas empresariales</t>
  </si>
  <si>
    <t>Prácticas empresariales o de mercado improcedentes</t>
  </si>
  <si>
    <t>DISEÑO</t>
  </si>
  <si>
    <t>EJECUCION</t>
  </si>
  <si>
    <t>DescripcionControl</t>
  </si>
  <si>
    <t>Periodicidad</t>
  </si>
  <si>
    <t>Operatividad</t>
  </si>
  <si>
    <t>TipoControl</t>
  </si>
  <si>
    <t>Oportuno</t>
  </si>
  <si>
    <t>Adecuado</t>
  </si>
  <si>
    <t>Manual</t>
  </si>
  <si>
    <t>Detectivo</t>
  </si>
  <si>
    <t>Misma área</t>
  </si>
  <si>
    <t>Impacto</t>
  </si>
  <si>
    <t>Preventivo</t>
  </si>
  <si>
    <t>Otra área o automático</t>
  </si>
  <si>
    <t>Nivel 1 Operativo</t>
  </si>
  <si>
    <t>Fecha de Elaboración</t>
  </si>
  <si>
    <t>RIESGO INHERENTE</t>
  </si>
  <si>
    <t>Riesgo:</t>
  </si>
  <si>
    <t>Febrero</t>
  </si>
  <si>
    <t>Junio</t>
  </si>
  <si>
    <t>Julio</t>
  </si>
  <si>
    <t>Noviembre</t>
  </si>
  <si>
    <t>ESTIMACIÓN ECONÓMICA</t>
  </si>
  <si>
    <t>- Supuesto 1:</t>
  </si>
  <si>
    <t>- Supuesto 2:</t>
  </si>
  <si>
    <t>- Supuesto 3:</t>
  </si>
  <si>
    <t>- Supuesto 4:</t>
  </si>
  <si>
    <t>- Supuesto 5:</t>
  </si>
  <si>
    <t>Método de cáculo</t>
  </si>
  <si>
    <t>Importe Estimado:</t>
  </si>
  <si>
    <r>
      <t>Variables consideradas</t>
    </r>
    <r>
      <rPr>
        <b/>
        <sz val="9"/>
        <rFont val="Calibri"/>
        <family val="2"/>
        <scheme val="minor"/>
      </rPr>
      <t>:</t>
    </r>
  </si>
  <si>
    <r>
      <t>Supuestos</t>
    </r>
    <r>
      <rPr>
        <b/>
        <sz val="9"/>
        <rFont val="Calibri"/>
        <family val="2"/>
        <scheme val="minor"/>
      </rPr>
      <t>:</t>
    </r>
  </si>
  <si>
    <t>Muy Bajo</t>
  </si>
  <si>
    <t>Nivel de Riesgo</t>
  </si>
  <si>
    <t>Plan de Acción</t>
  </si>
  <si>
    <t>Área Responsable del Plan de Acción</t>
  </si>
  <si>
    <t>Fecha inicio de implementación</t>
  </si>
  <si>
    <t>Fecha fin de implementación</t>
  </si>
  <si>
    <t>Personas</t>
  </si>
  <si>
    <t>ID</t>
  </si>
  <si>
    <t>Tipo</t>
  </si>
  <si>
    <t>Gestión de Planeamiento Estratégico</t>
  </si>
  <si>
    <t>E</t>
  </si>
  <si>
    <t>Gestión de Marketing</t>
  </si>
  <si>
    <t>Desarrollo y Administración del Presupuesto</t>
  </si>
  <si>
    <t>C</t>
  </si>
  <si>
    <t>Gestión de Calidad y Servicio al Cliente</t>
  </si>
  <si>
    <t>Captación de Productos</t>
  </si>
  <si>
    <t xml:space="preserve">Fondeo de Recursos </t>
  </si>
  <si>
    <t>Otorgamiento de Créditos</t>
  </si>
  <si>
    <t>Gestión de Garantías</t>
  </si>
  <si>
    <t>Gestión de Seguros</t>
  </si>
  <si>
    <t>Recaudación</t>
  </si>
  <si>
    <t>S</t>
  </si>
  <si>
    <t>Gestión de Riesgo Operacional</t>
  </si>
  <si>
    <t>Gestión de Seguridad de la Información</t>
  </si>
  <si>
    <t>Gestión del Riesgo Ambiental</t>
  </si>
  <si>
    <t>Gestión Secretaría General</t>
  </si>
  <si>
    <t>Gestión de Contratos</t>
  </si>
  <si>
    <t>Gestión de Poderes</t>
  </si>
  <si>
    <t>Gestión de Procesos Legales</t>
  </si>
  <si>
    <t>Gestión de Embargos</t>
  </si>
  <si>
    <t>Reclutamiento y selección de personal</t>
  </si>
  <si>
    <t>Compensaciones del Colaborador</t>
  </si>
  <si>
    <t>Gestión Normativa</t>
  </si>
  <si>
    <t>Procesos</t>
  </si>
  <si>
    <t>Proceso de atención de proyectos y requerimientos</t>
  </si>
  <si>
    <t>Adquisiciones</t>
  </si>
  <si>
    <t>Gestión de Infraestructura</t>
  </si>
  <si>
    <t>Gestión de Servicios internos</t>
  </si>
  <si>
    <t>Desarrollo de Software</t>
  </si>
  <si>
    <t>Gestión de Operaciones de TI</t>
  </si>
  <si>
    <t>Gestión Contable</t>
  </si>
  <si>
    <t>Gestión de Gastos e Ingresos</t>
  </si>
  <si>
    <t>Gestión Tributaria</t>
  </si>
  <si>
    <t>Gestión de Cobranzas y Recuperaciones</t>
  </si>
  <si>
    <t>Control Interno</t>
  </si>
  <si>
    <t>Gestión de Auditoría Interna</t>
  </si>
  <si>
    <t>Gestión de Cumplimiento Normativo</t>
  </si>
  <si>
    <t xml:space="preserve">Gestión de Prevención de Lavado de Activos </t>
  </si>
  <si>
    <t>Actividades no autorizadas</t>
  </si>
  <si>
    <t>Seguridad de los sistemas</t>
  </si>
  <si>
    <t>Relaciones laborales y seguridad en el puesto de trabajo</t>
  </si>
  <si>
    <t>Relaciones laborales</t>
  </si>
  <si>
    <t>Higiene y seguridad en el trabajo</t>
  </si>
  <si>
    <t>Diversidad y discriminación</t>
  </si>
  <si>
    <t>Adecuación, divulgación de información y confianza</t>
  </si>
  <si>
    <t>Productos defectuosos</t>
  </si>
  <si>
    <t>Selección, patrocinio y riesgos</t>
  </si>
  <si>
    <t>Actividades de asesoramiento</t>
  </si>
  <si>
    <t>Daños a activos materiales</t>
  </si>
  <si>
    <t>Desastres y otros acontecimientos</t>
  </si>
  <si>
    <t>Interrupción del negocio y fallos en los sistemas</t>
  </si>
  <si>
    <t>Sistemas</t>
  </si>
  <si>
    <t>Seguimiento y presentación de informes</t>
  </si>
  <si>
    <t>Aceptación de clientes y documentación</t>
  </si>
  <si>
    <t>Gestión de cuentas de clientes</t>
  </si>
  <si>
    <t>Contrapartes comerciales</t>
  </si>
  <si>
    <t>Distribuidores y proveedores</t>
  </si>
  <si>
    <t>TIPO DE EVENTO</t>
  </si>
  <si>
    <t>NIVEL 1</t>
  </si>
  <si>
    <t>NIVEL 2</t>
  </si>
  <si>
    <t>Factor</t>
  </si>
  <si>
    <t>Tecnología</t>
  </si>
  <si>
    <t>Eventos externos</t>
  </si>
  <si>
    <t>Riesgo de Interrupción</t>
  </si>
  <si>
    <t>Criterio de IMPACTO</t>
  </si>
  <si>
    <t>Límite inferior</t>
  </si>
  <si>
    <t>Límite superior</t>
  </si>
  <si>
    <t>Catastrófico</t>
  </si>
  <si>
    <t>Mayor</t>
  </si>
  <si>
    <t>Moderado</t>
  </si>
  <si>
    <t>IMPACTO</t>
  </si>
  <si>
    <t>FRECUENCIA</t>
  </si>
  <si>
    <t>Media</t>
  </si>
  <si>
    <t>Alta</t>
  </si>
  <si>
    <t>Muy Alta</t>
  </si>
  <si>
    <t>Medio</t>
  </si>
  <si>
    <t>Extremo</t>
  </si>
  <si>
    <t>Bajo</t>
  </si>
  <si>
    <t>Alto</t>
  </si>
  <si>
    <t>Periódico</t>
  </si>
  <si>
    <t>Eventual</t>
  </si>
  <si>
    <t>Automático</t>
  </si>
  <si>
    <t>Semiautomático</t>
  </si>
  <si>
    <t>Valor</t>
  </si>
  <si>
    <t>Tipo de Control</t>
  </si>
  <si>
    <t>Segregación</t>
  </si>
  <si>
    <t>Mismo Funcionario</t>
  </si>
  <si>
    <t>Supervisión</t>
  </si>
  <si>
    <t>SI</t>
  </si>
  <si>
    <t>NO</t>
  </si>
  <si>
    <t>Diseño</t>
  </si>
  <si>
    <t>AMBOS</t>
  </si>
  <si>
    <t>Disminuye</t>
  </si>
  <si>
    <t>% de Mitigación</t>
  </si>
  <si>
    <t>Calificación del Control</t>
  </si>
  <si>
    <t>No</t>
  </si>
  <si>
    <t>Evitar</t>
  </si>
  <si>
    <t>Transferir</t>
  </si>
  <si>
    <t>Reducir</t>
  </si>
  <si>
    <t>Aceptar</t>
  </si>
  <si>
    <t>Medidas de Tratamiento</t>
  </si>
  <si>
    <t>Líneas de Negocio</t>
  </si>
  <si>
    <t>Banca Comercial</t>
  </si>
  <si>
    <t>Banca Minorista</t>
  </si>
  <si>
    <t>Liquidación y Pagos</t>
  </si>
  <si>
    <t>Negociación y Ventas</t>
  </si>
  <si>
    <t>Otros servicios</t>
  </si>
  <si>
    <t>Paso 1</t>
  </si>
  <si>
    <t>Paso 2</t>
  </si>
  <si>
    <t>Nivel 2 Analista / Coordinador</t>
  </si>
  <si>
    <t>Si</t>
  </si>
  <si>
    <t>Permanente</t>
  </si>
  <si>
    <t>Gestión del Colaborador</t>
  </si>
  <si>
    <t>- Monto de UIT</t>
  </si>
  <si>
    <t>Nivel 3 Directivo o Automático</t>
  </si>
  <si>
    <t>- N° de UIT</t>
  </si>
  <si>
    <t>Frecuencia</t>
  </si>
  <si>
    <t>Código de Evento</t>
  </si>
  <si>
    <t>Ciudad del Evento</t>
  </si>
  <si>
    <t>Fecha de registro</t>
  </si>
  <si>
    <t>Fecha Ocurrencia</t>
  </si>
  <si>
    <t>Fecha Detección</t>
  </si>
  <si>
    <t>Descripción breve del evento</t>
  </si>
  <si>
    <t>Decripción detalle del evento</t>
  </si>
  <si>
    <t>Línea de Negocio Nivel 1</t>
  </si>
  <si>
    <t>Código Línea de Negocio Nivel 1</t>
  </si>
  <si>
    <t>Línea de Negocio Nivel 2</t>
  </si>
  <si>
    <t>Código Línea de Negocio Nivel 2</t>
  </si>
  <si>
    <t>Código Causal de Riesgo Operativo (SARO)</t>
  </si>
  <si>
    <t xml:space="preserve">Tipo de Evento de Pérdida
Nivel 1 </t>
  </si>
  <si>
    <t>Código de Tipo de Evento de Pérdida Nivel 2</t>
  </si>
  <si>
    <t>Tipo de Evento de Pérdida
Nivel 2</t>
  </si>
  <si>
    <t>Código Subcausal de Riesgo Operativo  (SARO)</t>
  </si>
  <si>
    <t>Subcausal de Riesgo (SARO)</t>
  </si>
  <si>
    <t>Código del Proceso de Riesgo Operacional</t>
  </si>
  <si>
    <t>Procesos de Riesgo Operacional</t>
  </si>
  <si>
    <t>Tipo de Producto
Según SBS Nivel 1
(automático)</t>
  </si>
  <si>
    <t>Proceso Asociado al evento</t>
  </si>
  <si>
    <t>Moneda Original del Evento</t>
  </si>
  <si>
    <t xml:space="preserve">Pérdida Bruta </t>
  </si>
  <si>
    <t>Tipo de Cambio</t>
  </si>
  <si>
    <t>Monto Total de Pérdida Bruta 
(PEN)</t>
  </si>
  <si>
    <t>Fecha Registro Contable</t>
  </si>
  <si>
    <t>Diario
(Asiento)</t>
  </si>
  <si>
    <t xml:space="preserve"># Cuenta Contable </t>
  </si>
  <si>
    <t>Centro de Costo</t>
  </si>
  <si>
    <t>Tipo Recupero</t>
  </si>
  <si>
    <t>Monto Recuperado (USD)</t>
  </si>
  <si>
    <t>Monto Recuperado (PEN)</t>
  </si>
  <si>
    <t>Monto Total Recuperado   (PEN)</t>
  </si>
  <si>
    <t>Monto Total Recuperado   (USD)</t>
  </si>
  <si>
    <t xml:space="preserve">
# Cuenta Contable
</t>
  </si>
  <si>
    <t>Pérdida Neta (PEN)</t>
  </si>
  <si>
    <t>Pérdida Neta (USD)</t>
  </si>
  <si>
    <t>Área Detección (Reportó)</t>
  </si>
  <si>
    <t>Área/Unidad Ocurrencia</t>
  </si>
  <si>
    <t>Relacionado a
Riesgo de Mercado/ Riesgo de Crédito</t>
  </si>
  <si>
    <t>Informe 
(SI / NO)</t>
  </si>
  <si>
    <t>Sesión Comité Riesgo</t>
  </si>
  <si>
    <t>Evento Relacionado (ER)/
Pérdida Múltiple (PM)</t>
  </si>
  <si>
    <t>Número de ER / PM</t>
  </si>
  <si>
    <t>Observaciones</t>
  </si>
  <si>
    <t>Estado</t>
  </si>
  <si>
    <t>Periodo de Reporte</t>
  </si>
  <si>
    <t>Lima</t>
  </si>
  <si>
    <t>Banca minorista</t>
  </si>
  <si>
    <t>Multas, Sanciones, Sobrecargos</t>
  </si>
  <si>
    <t>Convenios</t>
  </si>
  <si>
    <t>Crédito minorista de consumo</t>
  </si>
  <si>
    <t>PEN</t>
  </si>
  <si>
    <t>17/01/2014     
20/01/2014</t>
  </si>
  <si>
    <t>43454715   
43479627</t>
  </si>
  <si>
    <t>4615000100711001</t>
  </si>
  <si>
    <t>HBPE 100 - 033 - 00</t>
  </si>
  <si>
    <t>N/A</t>
  </si>
  <si>
    <t>Legal</t>
  </si>
  <si>
    <t>Operaciones Banca Personal</t>
  </si>
  <si>
    <t>Cerrado</t>
  </si>
  <si>
    <t>4619090901211001</t>
  </si>
  <si>
    <t>NA</t>
  </si>
  <si>
    <t>Fallas en el diseño del proceso</t>
  </si>
  <si>
    <t>Calidad y Servicio al Cliente</t>
  </si>
  <si>
    <t xml:space="preserve">Ventas </t>
  </si>
  <si>
    <t>Sanciones o sentencias a favor del cliente</t>
  </si>
  <si>
    <t>06/06/2016
03/06/2016</t>
  </si>
  <si>
    <t>1
27</t>
  </si>
  <si>
    <t>Productos</t>
  </si>
  <si>
    <t>5
4</t>
  </si>
  <si>
    <t>PP-2016-040</t>
  </si>
  <si>
    <t>Riesgo</t>
  </si>
  <si>
    <t>Probabilidad de ocurrencia</t>
  </si>
  <si>
    <t>Probabilidad</t>
  </si>
  <si>
    <t>RESIDUAL</t>
  </si>
  <si>
    <t>- N° de meses</t>
  </si>
  <si>
    <t>% Inferior</t>
  </si>
  <si>
    <t>% Superior</t>
  </si>
  <si>
    <t xml:space="preserve">Capacidad: </t>
  </si>
  <si>
    <t>2C1</t>
  </si>
  <si>
    <t>Apetito:</t>
  </si>
  <si>
    <t>Tolerancia:</t>
  </si>
  <si>
    <t>INHERENTE</t>
  </si>
  <si>
    <t xml:space="preserve"> Medición de Riesgos, Controles y Tratamiento</t>
  </si>
  <si>
    <t>Empresa</t>
  </si>
  <si>
    <t>XXXXXXXX</t>
  </si>
  <si>
    <t>División/Área</t>
  </si>
  <si>
    <t>RRHH</t>
  </si>
  <si>
    <t>Administración</t>
  </si>
  <si>
    <t>Operaciones</t>
  </si>
  <si>
    <t>Tecnología de Información</t>
  </si>
  <si>
    <t>Financiera y Contable</t>
  </si>
  <si>
    <t>Auditoría</t>
  </si>
  <si>
    <t>Marketing</t>
  </si>
  <si>
    <t>Riesgos</t>
  </si>
  <si>
    <t>Reclamos</t>
  </si>
  <si>
    <t>Servicio al cliente</t>
  </si>
  <si>
    <t>Ventas</t>
  </si>
  <si>
    <t>Infraestructura y Logística</t>
  </si>
  <si>
    <t>Pagos</t>
  </si>
  <si>
    <t>Créditos</t>
  </si>
  <si>
    <t>R01</t>
  </si>
  <si>
    <t>R02</t>
  </si>
  <si>
    <t xml:space="preserve">PROCESOS </t>
  </si>
  <si>
    <t>Divisón/Área</t>
  </si>
  <si>
    <t xml:space="preserve">Nuevos productos </t>
  </si>
  <si>
    <t>Nuevos Servicios</t>
  </si>
  <si>
    <t>Gestión de Proveedores</t>
  </si>
  <si>
    <t>Gestión de Contrapartes</t>
  </si>
  <si>
    <t>Selección de personal</t>
  </si>
  <si>
    <t>Gestión de Logística</t>
  </si>
  <si>
    <t>Servicios tercerizados</t>
  </si>
  <si>
    <t>Productos tercerizados</t>
  </si>
  <si>
    <t>Gestión de Pagos</t>
  </si>
  <si>
    <t>Conflicto de Interés</t>
  </si>
  <si>
    <t>Tolerancia cero</t>
  </si>
  <si>
    <t>Mesa de partes / Recepción</t>
  </si>
  <si>
    <t>Clasificación de Clientes</t>
  </si>
  <si>
    <t>Código de Conducta</t>
  </si>
  <si>
    <t>Gestión de  files</t>
  </si>
  <si>
    <t>Gestión de Ventas</t>
  </si>
  <si>
    <t>Pre Ventas</t>
  </si>
  <si>
    <t>Post Ventas</t>
  </si>
  <si>
    <t>Personal tercerizado</t>
  </si>
  <si>
    <t>Licitación Proveedores</t>
  </si>
  <si>
    <t>Reuniones fuera de la empresa</t>
  </si>
  <si>
    <t>Compras</t>
  </si>
  <si>
    <t>Gestión de Corrupción</t>
  </si>
  <si>
    <t>Ingreso anual PJ asciende hasta 150 UIT</t>
  </si>
  <si>
    <t>Ingreso anual PJ asciende hasta 1,700 UIT</t>
  </si>
  <si>
    <t xml:space="preserve">Ingreso anual PJ asciende monto mayor 1,700 UIT </t>
  </si>
  <si>
    <t>Multa por tener un sistema de prevención de corrupción defectuoso.</t>
  </si>
  <si>
    <t>Almuerzo con funcionario público sin autorización.</t>
  </si>
  <si>
    <t>Multa por incumplimiento al no tener canal de denuncias</t>
  </si>
  <si>
    <t>Multa por no realizar capacitaciones del sistema de prevención de corrupción.</t>
  </si>
  <si>
    <t>Nos visitó la SMV a solicitud de la Fiscalía y el Informe dio por resultado de "Defectuoso" el sistema de prevención de corrupción de la empresa.</t>
  </si>
  <si>
    <t>División/ÁREA</t>
  </si>
  <si>
    <t>Piura</t>
  </si>
  <si>
    <t>Arequipa</t>
  </si>
  <si>
    <t>EV-2018-001</t>
  </si>
  <si>
    <t>EV-2018-002</t>
  </si>
  <si>
    <t>EV-2019-003</t>
  </si>
  <si>
    <t>EV-2019-004</t>
  </si>
  <si>
    <t>No se registró almuerzo con funcionario del Ministerio de Transportes.</t>
  </si>
  <si>
    <t>No se implementó canal de denuncias</t>
  </si>
  <si>
    <t>No se evidenciaron las capacitaciones de acuerdo al Plan de Capacitaciones.</t>
  </si>
  <si>
    <t>AreaEjecución</t>
  </si>
  <si>
    <t>RIESGO RESIDUAL</t>
  </si>
  <si>
    <t>TRATAMIENTO</t>
  </si>
  <si>
    <t>IDENTIFICACIÓN DE CONTROLES</t>
  </si>
  <si>
    <t>Exposición
Residual</t>
  </si>
  <si>
    <t>Soborno a funcionarios públicos</t>
  </si>
  <si>
    <t>Descripción - Financiero</t>
  </si>
  <si>
    <t>Descripción - Reputacional</t>
  </si>
  <si>
    <t>Descripción - Clientes</t>
  </si>
  <si>
    <t>Pérdida menor a S/. 30,000</t>
  </si>
  <si>
    <t>Sólo de conocimiento interno de la empresa, puede impactar en ambiente laboral</t>
  </si>
  <si>
    <t>Notificaciones legales o de entes reguladores, sin efectos monetarios</t>
  </si>
  <si>
    <t>Pérdida entre S/. 30,000 y S/. 200,000</t>
  </si>
  <si>
    <t>Conocimiento en grupos de interés locales, afectación de la imagen ante clientes menores</t>
  </si>
  <si>
    <t>Incumplimiento regulatorio con multas de hasta 50 IUTs. Demandas legales menores por parte de terceros, conciliaciones, arbitrajes menores</t>
  </si>
  <si>
    <t>Pérdida entre S/. 200,000 y S/. 850,000</t>
  </si>
  <si>
    <t>Mención en medios de prensa sin mayor cobertura, afectación de la imagen en grupos de interés y clientes principales (reparable en no menos de 3 meses)</t>
  </si>
  <si>
    <t>Incumplimiento regulatorio con multas mayores a 50 UITs. Demandas legales por parte de terceros (clientes, proveedores) y daños a la empresa</t>
  </si>
  <si>
    <t>Pérdida entre S/. 850,000 y S/. 1’700,000</t>
  </si>
  <si>
    <t>Cobertura adversa de amplia difusión en medios locales, afecta altamente la imagen con grupos de interés y clientes principales (reparable en no menos de 6 meses)</t>
  </si>
  <si>
    <t>Incumplimiento regulatorio con multas mayores a 210 UITs. Condena en procesos legales sobre directores, gerentes o funcionarios, que no implique prisión efectiva</t>
  </si>
  <si>
    <t>Pérdida superior a S/. 1’700,000</t>
  </si>
  <si>
    <t>Cobertura adversa de amplia difusión en medios a nivel nacional, internacional y redes sociales. Afecta gravemente la imagen de la empresa y genera pérdida de clientes principales y socios estratégicos</t>
  </si>
  <si>
    <t>Incumplimiento regulatorio con multas mayores a 420 UITs. Acciones legales que conllevan a la prisión efectiva de directores, gerentes o funcionarios</t>
  </si>
  <si>
    <t xml:space="preserve">Criterio Frecuencia </t>
  </si>
  <si>
    <t>Sustento Frecuencia</t>
  </si>
  <si>
    <t>Se produce de 5 a más veces al año</t>
  </si>
  <si>
    <t>Se produce de 2 a 4 veces al año</t>
  </si>
  <si>
    <t>Se produce 1 vez cada año</t>
  </si>
  <si>
    <t>Se produce 1 vez cada 3 años</t>
  </si>
  <si>
    <t>Se produce 1 vez cada 5 años o más años</t>
  </si>
  <si>
    <r>
      <rPr>
        <b/>
        <sz val="8"/>
        <color theme="1"/>
        <rFont val="Calibri"/>
        <family val="2"/>
        <scheme val="minor"/>
      </rPr>
      <t>Reputacional -</t>
    </r>
    <r>
      <rPr>
        <sz val="8"/>
        <color theme="1"/>
        <rFont val="Calibri"/>
        <family val="2"/>
        <scheme val="minor"/>
      </rPr>
      <t xml:space="preserve"> Cobertura adversa de amplia difusión en medios a nivel nacional, internacional y redes sociales. Afecta gravemente la imagen de la empresa y genera pérdida de clientes principales y socios estratégicos.
</t>
    </r>
    <r>
      <rPr>
        <b/>
        <sz val="8"/>
        <color theme="1"/>
        <rFont val="Calibri"/>
        <family val="2"/>
        <scheme val="minor"/>
      </rPr>
      <t>Clientes -</t>
    </r>
    <r>
      <rPr>
        <sz val="8"/>
        <color theme="1"/>
        <rFont val="Calibri"/>
        <family val="2"/>
        <scheme val="minor"/>
      </rPr>
      <t xml:space="preserve"> Incumplimiento regulatorio con multas mayores a 420 UITs. Acciones legales que conllevan a la prisión efectiva de directores, gerentes o funcionarios.</t>
    </r>
  </si>
  <si>
    <r>
      <rPr>
        <b/>
        <sz val="8"/>
        <color theme="1"/>
        <rFont val="Calibri"/>
        <family val="2"/>
        <scheme val="minor"/>
      </rPr>
      <t xml:space="preserve">Reputacional - </t>
    </r>
    <r>
      <rPr>
        <sz val="8"/>
        <color theme="1"/>
        <rFont val="Calibri"/>
        <family val="2"/>
        <scheme val="minor"/>
      </rPr>
      <t xml:space="preserve">Sólo de conocimiento interno de la empresa, puede impactar en ambiente laboral.
</t>
    </r>
    <r>
      <rPr>
        <b/>
        <sz val="8"/>
        <color theme="1"/>
        <rFont val="Calibri"/>
        <family val="2"/>
        <scheme val="minor"/>
      </rPr>
      <t>Clientes -</t>
    </r>
    <r>
      <rPr>
        <sz val="8"/>
        <color theme="1"/>
        <rFont val="Calibri"/>
        <family val="2"/>
        <scheme val="minor"/>
      </rPr>
      <t xml:space="preserve"> Notificaciones legales o de entes reguladores, sin efectos monetarios.</t>
    </r>
  </si>
  <si>
    <r>
      <rPr>
        <b/>
        <sz val="8"/>
        <color theme="1"/>
        <rFont val="Calibri"/>
        <family val="2"/>
        <scheme val="minor"/>
      </rPr>
      <t>Reputacional -</t>
    </r>
    <r>
      <rPr>
        <sz val="8"/>
        <color theme="1"/>
        <rFont val="Calibri"/>
        <family val="2"/>
        <scheme val="minor"/>
      </rPr>
      <t xml:space="preserve"> Conocimiento en grupos de interés locales, afectación de la imagen ante clientes menores.
</t>
    </r>
    <r>
      <rPr>
        <b/>
        <sz val="8"/>
        <color theme="1"/>
        <rFont val="Calibri"/>
        <family val="2"/>
        <scheme val="minor"/>
      </rPr>
      <t>Clientes -</t>
    </r>
    <r>
      <rPr>
        <sz val="8"/>
        <color theme="1"/>
        <rFont val="Calibri"/>
        <family val="2"/>
        <scheme val="minor"/>
      </rPr>
      <t xml:space="preserve"> Incumplimiento regulatorio con multas de hasta 50 IUTs. Demandas legales menores por parte de terceros, conciliaciones, arbitrajes menores.</t>
    </r>
  </si>
  <si>
    <r>
      <rPr>
        <b/>
        <sz val="8"/>
        <color theme="1"/>
        <rFont val="Calibri"/>
        <family val="2"/>
        <scheme val="minor"/>
      </rPr>
      <t xml:space="preserve">Reputacional - </t>
    </r>
    <r>
      <rPr>
        <sz val="8"/>
        <color theme="1"/>
        <rFont val="Calibri"/>
        <family val="2"/>
        <scheme val="minor"/>
      </rPr>
      <t xml:space="preserve">Mención en medios de prensa sin mayor cobertura, afectación de la imagen en grupos de interés y clientes principales (reparable en no menos de 3 meses).
</t>
    </r>
    <r>
      <rPr>
        <b/>
        <sz val="8"/>
        <color theme="1"/>
        <rFont val="Calibri"/>
        <family val="2"/>
        <scheme val="minor"/>
      </rPr>
      <t>Clientes -</t>
    </r>
    <r>
      <rPr>
        <sz val="8"/>
        <color theme="1"/>
        <rFont val="Calibri"/>
        <family val="2"/>
        <scheme val="minor"/>
      </rPr>
      <t xml:space="preserve"> Incumplimiento regulatorio con multas mayores a 50 UITs. Demandas legales por parte de terceros (clientes, proveedores) y daños a la empresa.</t>
    </r>
  </si>
  <si>
    <r>
      <rPr>
        <b/>
        <sz val="8"/>
        <color theme="1"/>
        <rFont val="Calibri"/>
        <family val="2"/>
        <scheme val="minor"/>
      </rPr>
      <t>Reputacional -</t>
    </r>
    <r>
      <rPr>
        <sz val="8"/>
        <color theme="1"/>
        <rFont val="Calibri"/>
        <family val="2"/>
        <scheme val="minor"/>
      </rPr>
      <t xml:space="preserve"> Cobertura adversa de amplia difusión en medios locales, afecta altamente la imagen con grupos de interés y clientes principales (reparable en no menos de 6 meses).
</t>
    </r>
    <r>
      <rPr>
        <b/>
        <sz val="8"/>
        <color theme="1"/>
        <rFont val="Calibri"/>
        <family val="2"/>
        <scheme val="minor"/>
      </rPr>
      <t>Clientes -</t>
    </r>
    <r>
      <rPr>
        <sz val="8"/>
        <color theme="1"/>
        <rFont val="Calibri"/>
        <family val="2"/>
        <scheme val="minor"/>
      </rPr>
      <t xml:space="preserve"> IIncumplimiento regulatorio con multas mayores a 210 UITs. Condena en procesos legales sobre directores, gerentes o funcionarios, que no implique prisión efectiva.</t>
    </r>
  </si>
  <si>
    <t>Clasificación</t>
  </si>
  <si>
    <t>Contratos y disclaimers</t>
  </si>
  <si>
    <t>Revisión y seguimiento</t>
  </si>
  <si>
    <t>Capacitación terceros</t>
  </si>
  <si>
    <t>Capacitación interna</t>
  </si>
  <si>
    <t>Políticas</t>
  </si>
  <si>
    <t>Colaboradores</t>
  </si>
  <si>
    <t>Terceros</t>
  </si>
  <si>
    <t>Denuncias</t>
  </si>
  <si>
    <t>Procedimientos</t>
  </si>
  <si>
    <t>Revisiones y seguimiento</t>
  </si>
  <si>
    <t>Clasificacion de Controles</t>
  </si>
  <si>
    <t>Capacitaciones para los tramitadores y proveedores en general en temas relacionados a anticorrupción</t>
  </si>
  <si>
    <t>Areas</t>
  </si>
  <si>
    <t>ADMINISTRACION / LEGAL</t>
  </si>
  <si>
    <t>CUMPLIMIENTO</t>
  </si>
  <si>
    <t>PROCESOS</t>
  </si>
  <si>
    <t>ADMINISTRACION</t>
  </si>
  <si>
    <t>LEGAL</t>
  </si>
  <si>
    <t>Id Riesgo</t>
  </si>
  <si>
    <t>El soborno, o coima, es un acto de corrupción en el que se otorga o recibe una dádiva a cambio de un favor u omisión de las obligaciones a las que está sujeta el cargo. Esta dádiva puede adoptar formas diversas: dinero en efectivo, transferencia de acciones, favores sexuales o promesas diversas (Anwar, 2006; UNODC, 2004).</t>
  </si>
  <si>
    <t>Colusiones (internas, de terceros, con terceros)</t>
  </si>
  <si>
    <t>Abuso de posición personal, ventaja indebida.</t>
  </si>
  <si>
    <t>Naturaleza del control
(Manual / Automático)</t>
  </si>
  <si>
    <t>Criterio Probabilidad &amp; Criterio Impacto</t>
  </si>
  <si>
    <t>Criterio Frecuencia</t>
  </si>
  <si>
    <t>Probabilidad de Ocurrencia</t>
  </si>
  <si>
    <t>Agregar cláusulas de corrupción en los contratos con los tramitadores que actúan a nombre de la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</si>
</sst>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S/.&quot;\ #,##0;[Red]&quot;S/.&quot;\ \-#,##0"/>
    <numFmt numFmtId="165" formatCode="_ * #,##0_ ;_ * \-#,##0_ ;_ * &quot;-&quot;_ ;_ @_ "/>
    <numFmt numFmtId="166" formatCode="_ * #,##0.00_ ;_ * \-#,##0.00_ ;_ * &quot;-&quot;??_ ;_ @_ "/>
    <numFmt numFmtId="167" formatCode="&quot;S/.&quot;\ #,##0"/>
    <numFmt numFmtId="168" formatCode="_(* #,##0_);_(* \(#,##0\);_(* &quot;-&quot;??_);_(@_)"/>
    <numFmt numFmtId="169" formatCode="_ * #,##0.0_ ;_ * \-#,##0.0_ ;_ * &quot;-&quot;??_ ;_ @_ "/>
    <numFmt numFmtId="170" formatCode="&quot;S/.&quot;\ #,##0.00"/>
    <numFmt numFmtId="171" formatCode="[$-F800]dddd\,\ mmmm\ dd\,\ yyyy"/>
    <numFmt numFmtId="172" formatCode="0.0000"/>
    <numFmt numFmtId="173" formatCode="&quot;S/.&quot;\ #,##0.000"/>
    <numFmt numFmtId="174" formatCode="[$$-409]#,##0.00"/>
    <numFmt numFmtId="175" formatCode="\R00#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CC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0000CC"/>
      <name val="Calibri"/>
      <family val="2"/>
      <scheme val="minor"/>
    </font>
    <font>
      <b/>
      <sz val="8"/>
      <color theme="3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 style="dashed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24994659260841701"/>
      </left>
      <right style="thin">
        <color indexed="64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0" fillId="0" borderId="0"/>
    <xf numFmtId="0" fontId="20" fillId="0" borderId="0"/>
    <xf numFmtId="0" fontId="20" fillId="0" borderId="0"/>
    <xf numFmtId="0" fontId="33" fillId="0" borderId="0"/>
    <xf numFmtId="0" fontId="10" fillId="0" borderId="0"/>
  </cellStyleXfs>
  <cellXfs count="221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/>
    <xf numFmtId="0" fontId="15" fillId="0" borderId="0" xfId="0" applyFont="1"/>
    <xf numFmtId="0" fontId="14" fillId="0" borderId="0" xfId="0" quotePrefix="1" applyFont="1" applyAlignment="1">
      <alignment vertical="center"/>
    </xf>
    <xf numFmtId="164" fontId="16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7" fillId="2" borderId="0" xfId="0" applyFont="1" applyFill="1"/>
    <xf numFmtId="0" fontId="3" fillId="2" borderId="0" xfId="0" applyFont="1" applyFill="1"/>
    <xf numFmtId="0" fontId="18" fillId="0" borderId="0" xfId="0" applyFont="1"/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 wrapText="1"/>
    </xf>
    <xf numFmtId="2" fontId="26" fillId="0" borderId="1" xfId="0" applyNumberFormat="1" applyFont="1" applyBorder="1" applyAlignment="1">
      <alignment vertical="center" wrapText="1"/>
    </xf>
    <xf numFmtId="2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1" fontId="26" fillId="8" borderId="9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" fontId="26" fillId="9" borderId="9" xfId="0" applyNumberFormat="1" applyFont="1" applyFill="1" applyBorder="1" applyAlignment="1">
      <alignment horizontal="center" vertical="center" wrapText="1"/>
    </xf>
    <xf numFmtId="1" fontId="26" fillId="10" borderId="9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1" fontId="2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7" fillId="0" borderId="1" xfId="0" applyFont="1" applyBorder="1" applyAlignment="1">
      <alignment horizontal="justify" vertical="center"/>
    </xf>
    <xf numFmtId="3" fontId="26" fillId="0" borderId="1" xfId="0" applyNumberFormat="1" applyFont="1" applyBorder="1" applyAlignment="1">
      <alignment vertical="center" wrapText="1"/>
    </xf>
    <xf numFmtId="0" fontId="26" fillId="11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4" fillId="12" borderId="1" xfId="0" applyNumberFormat="1" applyFont="1" applyFill="1" applyBorder="1" applyAlignment="1">
      <alignment horizontal="center" vertical="center" wrapText="1"/>
    </xf>
    <xf numFmtId="167" fontId="4" fillId="4" borderId="1" xfId="0" applyNumberFormat="1" applyFont="1" applyFill="1" applyBorder="1" applyAlignment="1">
      <alignment horizontal="center" vertical="center" wrapText="1"/>
    </xf>
    <xf numFmtId="167" fontId="4" fillId="7" borderId="1" xfId="0" applyNumberFormat="1" applyFont="1" applyFill="1" applyBorder="1" applyAlignment="1">
      <alignment horizontal="center" vertical="center" wrapText="1"/>
    </xf>
    <xf numFmtId="167" fontId="4" fillId="5" borderId="1" xfId="0" applyNumberFormat="1" applyFont="1" applyFill="1" applyBorder="1" applyAlignment="1">
      <alignment horizontal="center" vertical="center" wrapText="1"/>
    </xf>
    <xf numFmtId="166" fontId="26" fillId="0" borderId="0" xfId="0" applyNumberFormat="1" applyFont="1" applyAlignment="1">
      <alignment vertical="center" wrapText="1"/>
    </xf>
    <xf numFmtId="167" fontId="4" fillId="13" borderId="1" xfId="0" applyNumberFormat="1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166" fontId="4" fillId="0" borderId="0" xfId="1" applyFont="1" applyBorder="1" applyAlignment="1">
      <alignment vertical="center" wrapText="1"/>
    </xf>
    <xf numFmtId="0" fontId="26" fillId="0" borderId="8" xfId="0" applyFont="1" applyBorder="1" applyAlignment="1">
      <alignment vertical="center" wrapText="1"/>
    </xf>
    <xf numFmtId="172" fontId="26" fillId="0" borderId="14" xfId="0" applyNumberFormat="1" applyFont="1" applyBorder="1" applyAlignment="1">
      <alignment vertical="center" wrapText="1"/>
    </xf>
    <xf numFmtId="0" fontId="26" fillId="0" borderId="6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166" fontId="26" fillId="0" borderId="0" xfId="1" applyFont="1" applyBorder="1" applyAlignment="1">
      <alignment vertical="center" wrapText="1"/>
    </xf>
    <xf numFmtId="168" fontId="3" fillId="2" borderId="0" xfId="0" applyNumberFormat="1" applyFont="1" applyFill="1"/>
    <xf numFmtId="0" fontId="2" fillId="0" borderId="10" xfId="0" applyFont="1" applyBorder="1"/>
    <xf numFmtId="167" fontId="13" fillId="0" borderId="1" xfId="1" applyNumberFormat="1" applyFont="1" applyBorder="1" applyAlignment="1">
      <alignment vertical="center"/>
    </xf>
    <xf numFmtId="169" fontId="13" fillId="0" borderId="1" xfId="1" applyNumberFormat="1" applyFont="1" applyBorder="1" applyAlignment="1">
      <alignment vertical="center"/>
    </xf>
    <xf numFmtId="0" fontId="34" fillId="3" borderId="0" xfId="0" applyFont="1" applyFill="1"/>
    <xf numFmtId="0" fontId="34" fillId="15" borderId="1" xfId="0" applyFont="1" applyFill="1" applyBorder="1" applyAlignment="1" applyProtection="1">
      <alignment horizontal="center" vertical="center" wrapText="1"/>
      <protection hidden="1"/>
    </xf>
    <xf numFmtId="0" fontId="34" fillId="16" borderId="1" xfId="0" applyFont="1" applyFill="1" applyBorder="1" applyAlignment="1" applyProtection="1">
      <alignment horizontal="center" vertical="center" wrapText="1"/>
      <protection hidden="1"/>
    </xf>
    <xf numFmtId="0" fontId="34" fillId="16" borderId="7" xfId="0" applyFont="1" applyFill="1" applyBorder="1" applyAlignment="1" applyProtection="1">
      <alignment horizontal="center" vertical="center" wrapText="1"/>
      <protection hidden="1"/>
    </xf>
    <xf numFmtId="0" fontId="34" fillId="7" borderId="1" xfId="0" applyFont="1" applyFill="1" applyBorder="1" applyAlignment="1" applyProtection="1">
      <alignment horizontal="center" vertical="center" wrapText="1"/>
      <protection hidden="1"/>
    </xf>
    <xf numFmtId="0" fontId="34" fillId="17" borderId="7" xfId="0" applyFont="1" applyFill="1" applyBorder="1" applyAlignment="1" applyProtection="1">
      <alignment horizontal="center" vertical="center" wrapText="1"/>
      <protection hidden="1"/>
    </xf>
    <xf numFmtId="1" fontId="34" fillId="17" borderId="7" xfId="0" applyNumberFormat="1" applyFont="1" applyFill="1" applyBorder="1" applyAlignment="1" applyProtection="1">
      <alignment horizontal="center" vertical="center" wrapText="1"/>
      <protection hidden="1"/>
    </xf>
    <xf numFmtId="49" fontId="34" fillId="17" borderId="7" xfId="0" applyNumberFormat="1" applyFont="1" applyFill="1" applyBorder="1" applyAlignment="1" applyProtection="1">
      <alignment horizontal="center" vertical="center" wrapText="1"/>
      <protection hidden="1"/>
    </xf>
    <xf numFmtId="0" fontId="34" fillId="18" borderId="7" xfId="0" applyFont="1" applyFill="1" applyBorder="1" applyAlignment="1" applyProtection="1">
      <alignment horizontal="center" vertical="center" wrapText="1"/>
      <protection hidden="1"/>
    </xf>
    <xf numFmtId="0" fontId="34" fillId="18" borderId="1" xfId="0" applyFont="1" applyFill="1" applyBorder="1" applyAlignment="1" applyProtection="1">
      <alignment horizontal="center" vertical="center" wrapText="1"/>
      <protection hidden="1"/>
    </xf>
    <xf numFmtId="0" fontId="34" fillId="0" borderId="0" xfId="0" applyFont="1"/>
    <xf numFmtId="0" fontId="35" fillId="3" borderId="1" xfId="0" applyFont="1" applyFill="1" applyBorder="1" applyAlignment="1" applyProtection="1">
      <alignment horizontal="center" vertical="center"/>
      <protection hidden="1"/>
    </xf>
    <xf numFmtId="14" fontId="35" fillId="3" borderId="1" xfId="0" applyNumberFormat="1" applyFont="1" applyFill="1" applyBorder="1" applyAlignment="1" applyProtection="1">
      <alignment horizontal="center" vertical="center"/>
      <protection hidden="1"/>
    </xf>
    <xf numFmtId="0" fontId="36" fillId="3" borderId="1" xfId="2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vertical="center" wrapText="1"/>
    </xf>
    <xf numFmtId="4" fontId="36" fillId="3" borderId="1" xfId="0" applyNumberFormat="1" applyFont="1" applyFill="1" applyBorder="1" applyAlignment="1">
      <alignment horizontal="center" vertical="center"/>
    </xf>
    <xf numFmtId="174" fontId="36" fillId="3" borderId="1" xfId="0" applyNumberFormat="1" applyFont="1" applyFill="1" applyBorder="1" applyAlignment="1">
      <alignment horizontal="center" vertical="center"/>
    </xf>
    <xf numFmtId="170" fontId="36" fillId="3" borderId="1" xfId="0" applyNumberFormat="1" applyFont="1" applyFill="1" applyBorder="1" applyAlignment="1">
      <alignment horizontal="center" vertical="center"/>
    </xf>
    <xf numFmtId="14" fontId="35" fillId="3" borderId="1" xfId="0" applyNumberFormat="1" applyFont="1" applyFill="1" applyBorder="1" applyAlignment="1" applyProtection="1">
      <alignment horizontal="center" vertical="center" wrapText="1"/>
      <protection hidden="1"/>
    </xf>
    <xf numFmtId="1" fontId="35" fillId="3" borderId="1" xfId="0" applyNumberFormat="1" applyFont="1" applyFill="1" applyBorder="1" applyAlignment="1" applyProtection="1">
      <alignment horizontal="center" vertical="center" wrapText="1"/>
      <protection hidden="1"/>
    </xf>
    <xf numFmtId="1" fontId="36" fillId="3" borderId="1" xfId="8" applyNumberFormat="1" applyFont="1" applyFill="1" applyBorder="1" applyAlignment="1">
      <alignment horizontal="center" vertical="center"/>
    </xf>
    <xf numFmtId="49" fontId="36" fillId="3" borderId="1" xfId="0" applyNumberFormat="1" applyFont="1" applyFill="1" applyBorder="1" applyAlignment="1">
      <alignment horizontal="center" vertical="center"/>
    </xf>
    <xf numFmtId="0" fontId="36" fillId="3" borderId="1" xfId="2" applyFont="1" applyFill="1" applyBorder="1" applyAlignment="1">
      <alignment horizontal="center" vertical="center" wrapText="1"/>
    </xf>
    <xf numFmtId="170" fontId="36" fillId="3" borderId="1" xfId="2" applyNumberFormat="1" applyFont="1" applyFill="1" applyBorder="1" applyAlignment="1">
      <alignment horizontal="center" vertical="center" wrapText="1"/>
    </xf>
    <xf numFmtId="0" fontId="35" fillId="3" borderId="1" xfId="0" applyFont="1" applyFill="1" applyBorder="1" applyAlignment="1" applyProtection="1">
      <alignment horizontal="center" vertical="center" wrapText="1"/>
      <protection hidden="1"/>
    </xf>
    <xf numFmtId="0" fontId="35" fillId="3" borderId="1" xfId="0" applyFont="1" applyFill="1" applyBorder="1" applyAlignment="1" applyProtection="1">
      <alignment vertical="center" wrapText="1"/>
      <protection hidden="1"/>
    </xf>
    <xf numFmtId="0" fontId="35" fillId="3" borderId="3" xfId="0" applyFont="1" applyFill="1" applyBorder="1" applyAlignment="1" applyProtection="1">
      <alignment vertical="center" wrapText="1"/>
      <protection hidden="1"/>
    </xf>
    <xf numFmtId="0" fontId="35" fillId="3" borderId="3" xfId="0" applyFont="1" applyFill="1" applyBorder="1" applyAlignment="1" applyProtection="1">
      <alignment horizontal="center" vertical="center" wrapText="1"/>
      <protection hidden="1"/>
    </xf>
    <xf numFmtId="1" fontId="36" fillId="3" borderId="1" xfId="0" applyNumberFormat="1" applyFont="1" applyFill="1" applyBorder="1" applyAlignment="1">
      <alignment horizontal="center" vertical="center"/>
    </xf>
    <xf numFmtId="14" fontId="3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14" fontId="36" fillId="3" borderId="3" xfId="0" applyNumberFormat="1" applyFont="1" applyFill="1" applyBorder="1" applyAlignment="1">
      <alignment horizontal="center" vertical="center" wrapText="1"/>
    </xf>
    <xf numFmtId="173" fontId="3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vertical="center" wrapText="1"/>
      <protection hidden="1"/>
    </xf>
    <xf numFmtId="0" fontId="0" fillId="3" borderId="0" xfId="0" applyFill="1" applyAlignment="1" applyProtection="1">
      <alignment vertical="center" wrapText="1"/>
      <protection hidden="1"/>
    </xf>
    <xf numFmtId="0" fontId="36" fillId="14" borderId="1" xfId="2" applyFont="1" applyFill="1" applyBorder="1" applyAlignment="1">
      <alignment horizontal="left" vertical="center" wrapText="1"/>
    </xf>
    <xf numFmtId="0" fontId="36" fillId="14" borderId="1" xfId="0" applyFont="1" applyFill="1" applyBorder="1" applyAlignment="1">
      <alignment horizontal="left" vertical="center" wrapText="1"/>
    </xf>
    <xf numFmtId="170" fontId="36" fillId="14" borderId="1" xfId="0" applyNumberFormat="1" applyFont="1" applyFill="1" applyBorder="1" applyAlignment="1">
      <alignment horizontal="center" vertical="center"/>
    </xf>
    <xf numFmtId="17" fontId="36" fillId="14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26" fillId="0" borderId="12" xfId="0" applyNumberFormat="1" applyFont="1" applyBorder="1" applyAlignment="1">
      <alignment vertical="center" wrapText="1"/>
    </xf>
    <xf numFmtId="165" fontId="26" fillId="7" borderId="1" xfId="1" applyNumberFormat="1" applyFont="1" applyFill="1" applyBorder="1" applyAlignment="1">
      <alignment horizontal="center" vertical="center" wrapText="1"/>
    </xf>
    <xf numFmtId="165" fontId="26" fillId="13" borderId="1" xfId="1" applyNumberFormat="1" applyFont="1" applyFill="1" applyBorder="1" applyAlignment="1">
      <alignment horizontal="center" vertical="center" wrapText="1"/>
    </xf>
    <xf numFmtId="165" fontId="26" fillId="12" borderId="1" xfId="1" applyNumberFormat="1" applyFont="1" applyFill="1" applyBorder="1" applyAlignment="1">
      <alignment horizontal="center" vertical="center" wrapText="1"/>
    </xf>
    <xf numFmtId="165" fontId="26" fillId="5" borderId="1" xfId="1" applyNumberFormat="1" applyFont="1" applyFill="1" applyBorder="1" applyAlignment="1">
      <alignment horizontal="center" vertical="center" wrapText="1"/>
    </xf>
    <xf numFmtId="165" fontId="26" fillId="4" borderId="1" xfId="1" applyNumberFormat="1" applyFont="1" applyFill="1" applyBorder="1" applyAlignment="1">
      <alignment horizontal="center" vertical="center" wrapText="1"/>
    </xf>
    <xf numFmtId="166" fontId="26" fillId="0" borderId="0" xfId="1" applyFont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left"/>
    </xf>
    <xf numFmtId="10" fontId="4" fillId="0" borderId="1" xfId="3" applyNumberFormat="1" applyFont="1" applyBorder="1" applyAlignment="1">
      <alignment vertical="center" wrapText="1"/>
    </xf>
    <xf numFmtId="0" fontId="38" fillId="0" borderId="0" xfId="0" applyFont="1"/>
    <xf numFmtId="0" fontId="5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166" fontId="0" fillId="0" borderId="1" xfId="1" applyFont="1" applyBorder="1"/>
    <xf numFmtId="166" fontId="0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13" borderId="1" xfId="2" quotePrefix="1" applyFont="1" applyFill="1" applyBorder="1" applyAlignment="1">
      <alignment vertical="center" wrapText="1"/>
    </xf>
    <xf numFmtId="0" fontId="13" fillId="13" borderId="1" xfId="2" applyFont="1" applyFill="1" applyBorder="1" applyAlignment="1">
      <alignment horizontal="left" vertical="center" wrapText="1"/>
    </xf>
    <xf numFmtId="0" fontId="13" fillId="13" borderId="4" xfId="2" quotePrefix="1" applyFont="1" applyFill="1" applyBorder="1" applyAlignment="1">
      <alignment vertical="center" wrapText="1"/>
    </xf>
    <xf numFmtId="1" fontId="24" fillId="13" borderId="1" xfId="0" applyNumberFormat="1" applyFont="1" applyFill="1" applyBorder="1" applyAlignment="1">
      <alignment horizontal="center" vertical="center" wrapText="1"/>
    </xf>
    <xf numFmtId="2" fontId="25" fillId="13" borderId="1" xfId="0" applyNumberFormat="1" applyFont="1" applyFill="1" applyBorder="1" applyAlignment="1">
      <alignment horizontal="center" vertical="center" wrapText="1"/>
    </xf>
    <xf numFmtId="1" fontId="24" fillId="13" borderId="4" xfId="0" applyNumberFormat="1" applyFont="1" applyFill="1" applyBorder="1" applyAlignment="1">
      <alignment horizontal="center" vertical="center" wrapText="1"/>
    </xf>
    <xf numFmtId="2" fontId="25" fillId="13" borderId="4" xfId="0" applyNumberFormat="1" applyFont="1" applyFill="1" applyBorder="1" applyAlignment="1">
      <alignment horizontal="center" vertical="center" wrapText="1"/>
    </xf>
    <xf numFmtId="2" fontId="25" fillId="13" borderId="0" xfId="0" applyNumberFormat="1" applyFont="1" applyFill="1" applyAlignment="1">
      <alignment horizontal="center" vertical="center" wrapText="1"/>
    </xf>
    <xf numFmtId="166" fontId="2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13" borderId="20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vertical="center" wrapText="1"/>
    </xf>
    <xf numFmtId="0" fontId="6" fillId="13" borderId="2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69" fontId="5" fillId="0" borderId="19" xfId="1" applyNumberFormat="1" applyFont="1" applyFill="1" applyBorder="1" applyAlignment="1">
      <alignment vertical="center" wrapText="1"/>
    </xf>
    <xf numFmtId="169" fontId="5" fillId="0" borderId="19" xfId="1" applyNumberFormat="1" applyFont="1" applyFill="1" applyBorder="1" applyAlignment="1">
      <alignment horizontal="center" vertical="center" wrapText="1"/>
    </xf>
    <xf numFmtId="10" fontId="30" fillId="11" borderId="19" xfId="3" applyNumberFormat="1" applyFont="1" applyFill="1" applyBorder="1" applyAlignment="1">
      <alignment horizontal="center" vertical="center" wrapText="1"/>
    </xf>
    <xf numFmtId="0" fontId="30" fillId="11" borderId="19" xfId="0" applyFont="1" applyFill="1" applyBorder="1" applyAlignment="1">
      <alignment horizontal="center" vertical="center" wrapText="1"/>
    </xf>
    <xf numFmtId="10" fontId="31" fillId="11" borderId="19" xfId="3" applyNumberFormat="1" applyFont="1" applyFill="1" applyBorder="1" applyAlignment="1">
      <alignment horizontal="center" vertical="center" wrapText="1"/>
    </xf>
    <xf numFmtId="170" fontId="31" fillId="11" borderId="19" xfId="0" applyNumberFormat="1" applyFont="1" applyFill="1" applyBorder="1" applyAlignment="1">
      <alignment horizontal="center" vertical="center" wrapText="1"/>
    </xf>
    <xf numFmtId="3" fontId="30" fillId="11" borderId="19" xfId="0" applyNumberFormat="1" applyFont="1" applyFill="1" applyBorder="1" applyAlignment="1">
      <alignment horizontal="center" vertical="center" wrapText="1"/>
    </xf>
    <xf numFmtId="0" fontId="11" fillId="21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11" fillId="21" borderId="4" xfId="0" applyFont="1" applyFill="1" applyBorder="1" applyAlignment="1">
      <alignment horizontal="left" vertical="center" wrapText="1"/>
    </xf>
    <xf numFmtId="0" fontId="7" fillId="21" borderId="4" xfId="0" applyFont="1" applyFill="1" applyBorder="1" applyAlignment="1">
      <alignment horizontal="center" vertical="center" wrapText="1"/>
    </xf>
    <xf numFmtId="0" fontId="6" fillId="13" borderId="25" xfId="0" applyFont="1" applyFill="1" applyBorder="1" applyAlignment="1">
      <alignment horizontal="center" vertical="center" wrapText="1"/>
    </xf>
    <xf numFmtId="0" fontId="7" fillId="21" borderId="22" xfId="0" applyFont="1" applyFill="1" applyBorder="1" applyAlignment="1">
      <alignment horizontal="center" vertical="center" wrapText="1"/>
    </xf>
    <xf numFmtId="175" fontId="7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0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5" fillId="14" borderId="19" xfId="0" applyFont="1" applyFill="1" applyBorder="1" applyAlignment="1">
      <alignment horizontal="left" vertical="center" wrapText="1"/>
    </xf>
    <xf numFmtId="14" fontId="5" fillId="14" borderId="19" xfId="0" applyNumberFormat="1" applyFont="1" applyFill="1" applyBorder="1" applyAlignment="1">
      <alignment horizontal="left" vertical="center" wrapText="1"/>
    </xf>
    <xf numFmtId="1" fontId="24" fillId="0" borderId="0" xfId="0" applyNumberFormat="1" applyFont="1" applyAlignment="1">
      <alignment horizontal="center" vertical="center" wrapText="1"/>
    </xf>
    <xf numFmtId="9" fontId="9" fillId="0" borderId="19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1" xfId="3" applyNumberFormat="1" applyFont="1" applyBorder="1" applyAlignment="1">
      <alignment horizontal="center" vertical="center" wrapText="1"/>
    </xf>
    <xf numFmtId="10" fontId="4" fillId="19" borderId="1" xfId="3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40" fillId="22" borderId="26" xfId="0" applyFont="1" applyFill="1" applyBorder="1" applyAlignment="1">
      <alignment horizontal="center" vertical="center" wrapText="1"/>
    </xf>
    <xf numFmtId="0" fontId="20" fillId="0" borderId="26" xfId="0" applyFont="1" applyBorder="1" applyAlignment="1">
      <alignment vertical="center" wrapText="1"/>
    </xf>
    <xf numFmtId="0" fontId="41" fillId="0" borderId="26" xfId="0" applyFont="1" applyBorder="1" applyAlignment="1">
      <alignment horizontal="left" vertical="center" wrapText="1"/>
    </xf>
    <xf numFmtId="0" fontId="37" fillId="0" borderId="0" xfId="0" applyFont="1"/>
    <xf numFmtId="166" fontId="24" fillId="13" borderId="4" xfId="1" applyFont="1" applyFill="1" applyBorder="1" applyAlignment="1">
      <alignment horizontal="center" vertical="center" wrapText="1"/>
    </xf>
    <xf numFmtId="166" fontId="4" fillId="0" borderId="1" xfId="1" applyFont="1" applyBorder="1" applyAlignment="1">
      <alignment vertical="center" wrapText="1"/>
    </xf>
    <xf numFmtId="166" fontId="26" fillId="0" borderId="0" xfId="1" applyFont="1" applyAlignment="1">
      <alignment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166" fontId="21" fillId="0" borderId="4" xfId="1" applyFont="1" applyFill="1" applyBorder="1" applyAlignment="1">
      <alignment horizontal="center" vertical="center" wrapText="1"/>
    </xf>
    <xf numFmtId="166" fontId="21" fillId="23" borderId="4" xfId="1" applyFont="1" applyFill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/>
    </xf>
    <xf numFmtId="4" fontId="5" fillId="0" borderId="19" xfId="1" applyNumberFormat="1" applyFont="1" applyFill="1" applyBorder="1" applyAlignment="1">
      <alignment horizontal="left" vertical="center" wrapText="1"/>
    </xf>
    <xf numFmtId="171" fontId="5" fillId="6" borderId="27" xfId="0" applyNumberFormat="1" applyFont="1" applyFill="1" applyBorder="1" applyAlignment="1">
      <alignment horizontal="center" vertical="center"/>
    </xf>
    <xf numFmtId="171" fontId="5" fillId="6" borderId="1" xfId="0" applyNumberFormat="1" applyFont="1" applyFill="1" applyBorder="1" applyAlignment="1">
      <alignment horizontal="center" vertical="center"/>
    </xf>
    <xf numFmtId="0" fontId="6" fillId="13" borderId="24" xfId="0" applyFont="1" applyFill="1" applyBorder="1" applyAlignment="1">
      <alignment horizontal="center"/>
    </xf>
    <xf numFmtId="0" fontId="6" fillId="13" borderId="24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left" vertical="center" wrapText="1"/>
    </xf>
    <xf numFmtId="0" fontId="6" fillId="13" borderId="16" xfId="0" applyFon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0" fontId="6" fillId="13" borderId="18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166" fontId="4" fillId="0" borderId="0" xfId="1" applyFont="1" applyAlignment="1">
      <alignment horizontal="center" vertical="center" textRotation="90" wrapText="1"/>
    </xf>
    <xf numFmtId="0" fontId="2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textRotation="90" wrapText="1"/>
    </xf>
    <xf numFmtId="0" fontId="39" fillId="20" borderId="0" xfId="0" applyFont="1" applyFill="1" applyAlignment="1">
      <alignment horizontal="center"/>
    </xf>
    <xf numFmtId="0" fontId="32" fillId="0" borderId="2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0" fontId="13" fillId="3" borderId="2" xfId="2" applyFont="1" applyFill="1" applyBorder="1" applyAlignment="1">
      <alignment horizontal="left" vertical="center" wrapText="1"/>
    </xf>
    <xf numFmtId="0" fontId="13" fillId="3" borderId="5" xfId="2" applyFont="1" applyFill="1" applyBorder="1" applyAlignment="1">
      <alignment horizontal="left" vertical="center" wrapText="1"/>
    </xf>
    <xf numFmtId="0" fontId="13" fillId="3" borderId="3" xfId="2" applyFont="1" applyFill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3" fillId="0" borderId="8" xfId="0" quotePrefix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3" fillId="0" borderId="0" xfId="0" quotePrefix="1" applyFont="1" applyAlignment="1">
      <alignment horizontal="center" vertical="center" wrapText="1"/>
    </xf>
    <xf numFmtId="0" fontId="13" fillId="0" borderId="8" xfId="0" quotePrefix="1" applyFont="1" applyBorder="1" applyAlignment="1">
      <alignment horizontal="center" vertical="center" wrapText="1"/>
    </xf>
    <xf numFmtId="0" fontId="6" fillId="24" borderId="19" xfId="0" applyFont="1" applyFill="1" applyBorder="1" applyAlignment="1">
      <alignment horizontal="center" vertical="center" wrapText="1"/>
    </xf>
    <xf numFmtId="3" fontId="6" fillId="0" borderId="19" xfId="0" applyNumberFormat="1" applyFont="1" applyFill="1" applyBorder="1" applyAlignment="1">
      <alignment horizontal="center" vertical="center" wrapText="1"/>
    </xf>
    <xf numFmtId="10" fontId="38" fillId="24" borderId="19" xfId="3" applyNumberFormat="1" applyFont="1" applyFill="1" applyBorder="1" applyAlignment="1">
      <alignment horizontal="center" vertical="center" wrapText="1"/>
    </xf>
  </cellXfs>
  <cellStyles count="9">
    <cellStyle name="Millares" xfId="1" builtinId="3"/>
    <cellStyle name="Normal" xfId="0" builtinId="0"/>
    <cellStyle name="Normal 2" xfId="4" xr:uid="{00000000-0005-0000-0000-000002000000}"/>
    <cellStyle name="Normal 2 2" xfId="2" xr:uid="{00000000-0005-0000-0000-000003000000}"/>
    <cellStyle name="Normal 21" xfId="7" xr:uid="{00000000-0005-0000-0000-000004000000}"/>
    <cellStyle name="Normal 4" xfId="5" xr:uid="{00000000-0005-0000-0000-000005000000}"/>
    <cellStyle name="Normal 5" xfId="6" xr:uid="{00000000-0005-0000-0000-000006000000}"/>
    <cellStyle name="Normal_4619" xfId="8" xr:uid="{00000000-0005-0000-0000-000007000000}"/>
    <cellStyle name="Porcentaje" xfId="3" builtinId="5"/>
  </cellStyles>
  <dxfs count="6">
    <dxf>
      <fill>
        <patternFill>
          <bgColor theme="7" tint="0.59996337778862885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F26D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2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8</xdr:row>
      <xdr:rowOff>76200</xdr:rowOff>
    </xdr:from>
    <xdr:to>
      <xdr:col>5</xdr:col>
      <xdr:colOff>561975</xdr:colOff>
      <xdr:row>8</xdr:row>
      <xdr:rowOff>352425</xdr:rowOff>
    </xdr:to>
    <xdr:sp macro="" textlink="">
      <xdr:nvSpPr>
        <xdr:cNvPr id="2" name="1 Elips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924175" y="1962150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R01</a:t>
          </a:r>
        </a:p>
      </xdr:txBody>
    </xdr:sp>
    <xdr:clientData/>
  </xdr:twoCellAnchor>
  <xdr:twoCellAnchor>
    <xdr:from>
      <xdr:col>8</xdr:col>
      <xdr:colOff>190500</xdr:colOff>
      <xdr:row>8</xdr:row>
      <xdr:rowOff>76200</xdr:rowOff>
    </xdr:from>
    <xdr:to>
      <xdr:col>8</xdr:col>
      <xdr:colOff>723900</xdr:colOff>
      <xdr:row>8</xdr:row>
      <xdr:rowOff>352425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543550" y="1828800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R02</a:t>
          </a:r>
        </a:p>
      </xdr:txBody>
    </xdr:sp>
    <xdr:clientData/>
  </xdr:twoCellAnchor>
  <xdr:twoCellAnchor>
    <xdr:from>
      <xdr:col>15</xdr:col>
      <xdr:colOff>142875</xdr:colOff>
      <xdr:row>11</xdr:row>
      <xdr:rowOff>85725</xdr:rowOff>
    </xdr:from>
    <xdr:to>
      <xdr:col>15</xdr:col>
      <xdr:colOff>676275</xdr:colOff>
      <xdr:row>11</xdr:row>
      <xdr:rowOff>361950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1039475" y="3095625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R01</a:t>
          </a:r>
        </a:p>
      </xdr:txBody>
    </xdr:sp>
    <xdr:clientData/>
  </xdr:twoCellAnchor>
  <xdr:twoCellAnchor>
    <xdr:from>
      <xdr:col>16</xdr:col>
      <xdr:colOff>123825</xdr:colOff>
      <xdr:row>10</xdr:row>
      <xdr:rowOff>38100</xdr:rowOff>
    </xdr:from>
    <xdr:to>
      <xdr:col>16</xdr:col>
      <xdr:colOff>657225</xdr:colOff>
      <xdr:row>10</xdr:row>
      <xdr:rowOff>314325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1858625" y="2628900"/>
          <a:ext cx="533400" cy="276225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800" b="1">
              <a:solidFill>
                <a:sysClr val="windowText" lastClr="000000"/>
              </a:solidFill>
            </a:rPr>
            <a:t>R02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:/Users/43791391/Desktop/New%20Folder/2017/BASE%20DE%20DATOS/BASE%20DE%20DATOS_CONSOLIDADO-2017.xlsx" TargetMode="External"/><Relationship Id="rId1" Type="http://schemas.openxmlformats.org/officeDocument/2006/relationships/externalLinkPath" Target="/C:/Users/43791391/Desktop/New%20Folder/2017/BASE%20DE%20DATOS/BASE%20DE%20DATOS_CONSOLIDADO-201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:/Users/43765712/AppData/Local/Microsoft/Windows/Temporary%20Internet%20Files/Content.Outlook/PFH0LSYS/Modelo%20_Definici&#243;n.xlsx" TargetMode="External"/><Relationship Id="rId1" Type="http://schemas.openxmlformats.org/officeDocument/2006/relationships/externalLinkPath" Target="/C:/Users/43765712/AppData/Local/Microsoft/Windows/Temporary%20Internet%20Files/Content.Outlook/PFH0LSYS/Modelo%20_Definici&#243;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:/Users/43791391/Desktop/New%20Folder/2017/BASE%20DE%20DATOS/BASE%20DE%20DATOS_CONSOLIDADO-2017.xlsx" TargetMode="External"/><Relationship Id="rId1" Type="http://schemas.openxmlformats.org/officeDocument/2006/relationships/externalLinkPath" Target="/C:/Users/43791391/Desktop/New%20Folder/2017/BASE%20DE%20DATOS/BASE%20DE%20DATOS_CONSOLIDADO-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Hoja4"/>
      <sheetName val="Hoja3"/>
      <sheetName val="Base de Eventos de pérdida"/>
      <sheetName val="CC Áreas"/>
      <sheetName val="TABLAS"/>
      <sheetName val="Reporte COLOMBIA"/>
      <sheetName val="CARACTERIZACION"/>
      <sheetName val="Gráficos Pérdidas "/>
      <sheetName val="EVENTOS REGISTRADOS"/>
      <sheetName val="Hoja2"/>
      <sheetName val="SARO-EVENTOS"/>
      <sheetName val="PÉRDIDA POR PRODUCTO"/>
      <sheetName val="Parámetros"/>
    </sheetNames>
    <sheetDataSet>
      <sheetData sheetId="0"/>
      <sheetData sheetId="1"/>
      <sheetData sheetId="2"/>
      <sheetData sheetId="3">
        <row r="32">
          <cell r="N32" t="str">
            <v>Banca minorista</v>
          </cell>
        </row>
      </sheetData>
      <sheetData sheetId="4"/>
      <sheetData sheetId="5">
        <row r="3">
          <cell r="H3" t="str">
            <v>Fraude Interno</v>
          </cell>
          <cell r="I3">
            <v>1</v>
          </cell>
          <cell r="K3" t="str">
            <v>Fallas en el diseño del proceso</v>
          </cell>
          <cell r="L3">
            <v>26</v>
          </cell>
        </row>
        <row r="4">
          <cell r="H4" t="str">
            <v>Fraude Externo</v>
          </cell>
          <cell r="I4">
            <v>2</v>
          </cell>
          <cell r="K4" t="str">
            <v>Fallas por errores no intencionados de funcionarios</v>
          </cell>
          <cell r="L4">
            <v>27</v>
          </cell>
        </row>
        <row r="5">
          <cell r="H5" t="str">
            <v>Relaciones laborales y seguridad en el puesto de trabajo</v>
          </cell>
          <cell r="I5">
            <v>3</v>
          </cell>
          <cell r="K5" t="str">
            <v>Multas, Sanciones, Sobrecargos</v>
          </cell>
          <cell r="L5">
            <v>28</v>
          </cell>
        </row>
        <row r="6">
          <cell r="H6" t="str">
            <v>Clientes, productos y prácticas empresariales</v>
          </cell>
          <cell r="I6">
            <v>4</v>
          </cell>
          <cell r="K6" t="str">
            <v>Fallas por errores causados por clientes</v>
          </cell>
          <cell r="L6">
            <v>29</v>
          </cell>
        </row>
        <row r="7">
          <cell r="H7" t="str">
            <v>Daños a activos materiales</v>
          </cell>
          <cell r="I7">
            <v>5</v>
          </cell>
          <cell r="K7" t="str">
            <v>Fallas de Software</v>
          </cell>
          <cell r="L7">
            <v>21</v>
          </cell>
        </row>
        <row r="8">
          <cell r="H8" t="str">
            <v>Interrupción del negocio y fallos en los sistemas</v>
          </cell>
          <cell r="I8">
            <v>6</v>
          </cell>
          <cell r="K8" t="str">
            <v>Fallas de Hardware</v>
          </cell>
          <cell r="L8">
            <v>22</v>
          </cell>
        </row>
        <row r="9">
          <cell r="H9" t="str">
            <v>Ejecución, entrega y gestión de procesos</v>
          </cell>
          <cell r="I9">
            <v>7</v>
          </cell>
          <cell r="K9" t="str">
            <v>Fallas en Comunicaciones</v>
          </cell>
          <cell r="L9">
            <v>23</v>
          </cell>
        </row>
        <row r="10">
          <cell r="K10" t="str">
            <v>Fallas por virus informáticos o hackers</v>
          </cell>
          <cell r="L10">
            <v>24</v>
          </cell>
        </row>
        <row r="11">
          <cell r="K11" t="str">
            <v>Fallas en Parametrización</v>
          </cell>
          <cell r="L11">
            <v>25</v>
          </cell>
        </row>
        <row r="12">
          <cell r="H12" t="str">
            <v>Actividades no autorizadas</v>
          </cell>
          <cell r="I12">
            <v>1</v>
          </cell>
          <cell r="K12" t="str">
            <v>Desvio de Fondos o Activos</v>
          </cell>
          <cell r="L12">
            <v>1</v>
          </cell>
        </row>
        <row r="13">
          <cell r="H13" t="str">
            <v>Robo y fraude</v>
          </cell>
          <cell r="I13">
            <v>2</v>
          </cell>
          <cell r="K13" t="str">
            <v>Operaciones no reveladas con fines ilicitos</v>
          </cell>
          <cell r="L13">
            <v>2</v>
          </cell>
        </row>
        <row r="14">
          <cell r="H14" t="str">
            <v>Robo y fraude.</v>
          </cell>
          <cell r="I14">
            <v>3</v>
          </cell>
          <cell r="K14" t="str">
            <v>Falsificación de información, Suplantación de clientes</v>
          </cell>
          <cell r="L14">
            <v>3</v>
          </cell>
        </row>
        <row r="15">
          <cell r="H15" t="str">
            <v>Seguridad de los sistemas</v>
          </cell>
          <cell r="I15">
            <v>4</v>
          </cell>
          <cell r="K15" t="str">
            <v>Uso de información privilegiada de clientes con fines ilicitos</v>
          </cell>
          <cell r="L15">
            <v>4</v>
          </cell>
        </row>
        <row r="16">
          <cell r="H16" t="str">
            <v>Relaciones laborales</v>
          </cell>
          <cell r="I16">
            <v>5</v>
          </cell>
          <cell r="K16" t="str">
            <v>Pagos no aplicados o inconsistencias reportadas</v>
          </cell>
          <cell r="L16">
            <v>12</v>
          </cell>
        </row>
        <row r="17">
          <cell r="H17" t="str">
            <v>Higiene y seguridad en el trabajo</v>
          </cell>
          <cell r="I17">
            <v>6</v>
          </cell>
          <cell r="K17" t="str">
            <v>Errores o demoras en la informacion suministrada</v>
          </cell>
          <cell r="L17">
            <v>13</v>
          </cell>
        </row>
        <row r="18">
          <cell r="H18" t="str">
            <v>Diversidad y discriminación</v>
          </cell>
          <cell r="I18">
            <v>7</v>
          </cell>
          <cell r="K18" t="str">
            <v>Sanciones o sentencias a favor del cliente</v>
          </cell>
          <cell r="L18">
            <v>14</v>
          </cell>
        </row>
        <row r="19">
          <cell r="H19" t="str">
            <v>Adecuación, divulgación de información y confianza</v>
          </cell>
          <cell r="I19">
            <v>8</v>
          </cell>
          <cell r="K19" t="str">
            <v>Ejecución errada de Ordenes</v>
          </cell>
          <cell r="L19">
            <v>15</v>
          </cell>
        </row>
        <row r="20">
          <cell r="H20" t="str">
            <v>Prácticas empresariales o de mercado improcedentes</v>
          </cell>
          <cell r="I20">
            <v>9</v>
          </cell>
          <cell r="K20" t="str">
            <v>Liquidaciones erroneas en productos</v>
          </cell>
          <cell r="L20">
            <v>16</v>
          </cell>
        </row>
        <row r="21">
          <cell r="H21" t="str">
            <v>Productos defectuosos</v>
          </cell>
          <cell r="I21">
            <v>10</v>
          </cell>
          <cell r="K21" t="str">
            <v>Duplicidad en los cargos por fallas en terceros</v>
          </cell>
          <cell r="L21">
            <v>17</v>
          </cell>
        </row>
        <row r="22">
          <cell r="H22" t="str">
            <v>Selección, patrocinio y riesgos</v>
          </cell>
          <cell r="I22">
            <v>11</v>
          </cell>
          <cell r="K22" t="str">
            <v>Daños o eventos causados por Vandalismo</v>
          </cell>
          <cell r="L22">
            <v>18</v>
          </cell>
        </row>
        <row r="23">
          <cell r="H23" t="str">
            <v>Actividades de asesoramiento</v>
          </cell>
          <cell r="I23">
            <v>12</v>
          </cell>
          <cell r="K23" t="str">
            <v>Daños o eventos causados  por eventos externos</v>
          </cell>
          <cell r="L23">
            <v>19</v>
          </cell>
        </row>
        <row r="24">
          <cell r="H24" t="str">
            <v>Desastres y otros acontecimientos</v>
          </cell>
          <cell r="I24">
            <v>13</v>
          </cell>
          <cell r="K24" t="str">
            <v>Daños o eventos causados  por daños internos</v>
          </cell>
          <cell r="L24">
            <v>20</v>
          </cell>
        </row>
        <row r="25">
          <cell r="H25" t="str">
            <v>Sistemas</v>
          </cell>
          <cell r="I25">
            <v>14</v>
          </cell>
          <cell r="K25" t="str">
            <v>Falsificación y/o Suplantación</v>
          </cell>
          <cell r="L25">
            <v>5</v>
          </cell>
        </row>
        <row r="26">
          <cell r="H26" t="str">
            <v>Recepción, ejecución y mantenimiento de operaciones</v>
          </cell>
          <cell r="I26">
            <v>15</v>
          </cell>
          <cell r="K26" t="str">
            <v>Robo de Información</v>
          </cell>
          <cell r="L26">
            <v>6</v>
          </cell>
        </row>
        <row r="27">
          <cell r="H27" t="str">
            <v>Seguimiento y presentación de informes</v>
          </cell>
          <cell r="I27">
            <v>16</v>
          </cell>
          <cell r="K27" t="str">
            <v>Fraudes con Tarjetas</v>
          </cell>
          <cell r="L27">
            <v>7</v>
          </cell>
        </row>
        <row r="28">
          <cell r="H28" t="str">
            <v>Aceptación de clientes y documentación</v>
          </cell>
          <cell r="I28">
            <v>17</v>
          </cell>
          <cell r="K28" t="str">
            <v>Hurto, Desfalco, Malversación</v>
          </cell>
          <cell r="L28">
            <v>8</v>
          </cell>
        </row>
        <row r="29">
          <cell r="H29" t="str">
            <v>Gestión de cuentas de clientes</v>
          </cell>
          <cell r="I29">
            <v>18</v>
          </cell>
          <cell r="K29" t="str">
            <v>Procesos jurídicos con  exempleados</v>
          </cell>
          <cell r="L29">
            <v>9</v>
          </cell>
        </row>
        <row r="30">
          <cell r="H30" t="str">
            <v>Contrapartes comerciales</v>
          </cell>
          <cell r="I30">
            <v>19</v>
          </cell>
          <cell r="K30" t="str">
            <v>Accidentes Laborales</v>
          </cell>
          <cell r="L30">
            <v>10</v>
          </cell>
        </row>
        <row r="31">
          <cell r="H31" t="str">
            <v>Distribuidores y proveedores</v>
          </cell>
          <cell r="I31">
            <v>20</v>
          </cell>
          <cell r="K31" t="str">
            <v>Multas y sanciones e indemnizaciones</v>
          </cell>
          <cell r="L31">
            <v>11</v>
          </cell>
        </row>
      </sheetData>
      <sheetData sheetId="6"/>
      <sheetData sheetId="7">
        <row r="3">
          <cell r="F3" t="str">
            <v>Canales electrónicos_BM</v>
          </cell>
          <cell r="H3" t="str">
            <v>Banca minorista</v>
          </cell>
          <cell r="I3" t="str">
            <v>Banca minorista</v>
          </cell>
        </row>
        <row r="4">
          <cell r="F4" t="str">
            <v>Canales electrónicos_BC</v>
          </cell>
          <cell r="H4" t="str">
            <v>Banca comercial</v>
          </cell>
          <cell r="I4" t="str">
            <v>Banca comercial</v>
          </cell>
        </row>
        <row r="5">
          <cell r="H5" t="str">
            <v>Finanzas corporativas</v>
          </cell>
          <cell r="I5" t="str">
            <v>Finanzas corporativas</v>
          </cell>
          <cell r="J5" t="str">
            <v>Emisión de valores representativos de capital</v>
          </cell>
          <cell r="K5" t="str">
            <v>Emisión de acciones</v>
          </cell>
        </row>
        <row r="6">
          <cell r="F6" t="str">
            <v>Emisión de Bonos</v>
          </cell>
          <cell r="G6" t="str">
            <v>Finanzas corporativas-Emisión de valores representativos de capital-Emisión de Bonos</v>
          </cell>
          <cell r="H6" t="str">
            <v>Finanzas corporativas</v>
          </cell>
          <cell r="I6" t="str">
            <v>Finanzas de administraciones públicas</v>
          </cell>
          <cell r="J6" t="str">
            <v>Emisión de valores representativos de capital</v>
          </cell>
          <cell r="K6" t="str">
            <v>Emisión de bonos</v>
          </cell>
        </row>
        <row r="7">
          <cell r="H7" t="str">
            <v>Finanzas corporativas</v>
          </cell>
          <cell r="I7" t="str">
            <v>Banca de inversión</v>
          </cell>
          <cell r="J7" t="str">
            <v>Emisión de valores representativos de capital</v>
          </cell>
          <cell r="K7" t="str">
            <v>Emisión de productos estructurados</v>
          </cell>
        </row>
        <row r="8">
          <cell r="H8" t="str">
            <v>Finanzas corporativas</v>
          </cell>
          <cell r="I8" t="str">
            <v>Banca de inversión</v>
          </cell>
          <cell r="J8" t="str">
            <v>Emisión de valores representativos de capital</v>
          </cell>
          <cell r="K8" t="str">
            <v>Titulización de activos</v>
          </cell>
        </row>
        <row r="9">
          <cell r="H9" t="str">
            <v>Finanzas corporativas</v>
          </cell>
          <cell r="I9" t="str">
            <v>Banca de inversión</v>
          </cell>
          <cell r="J9" t="str">
            <v>Emisión de valores representativos de capital</v>
          </cell>
          <cell r="K9" t="str">
            <v>Oferta Privada</v>
          </cell>
        </row>
        <row r="10">
          <cell r="H10" t="str">
            <v>Finanzas corporativas</v>
          </cell>
          <cell r="I10" t="str">
            <v>Banca de inversión</v>
          </cell>
          <cell r="J10" t="str">
            <v>Emisión de valores representativos de capital</v>
          </cell>
          <cell r="K10" t="str">
            <v>Financiamiento sindicado</v>
          </cell>
        </row>
        <row r="11">
          <cell r="H11" t="str">
            <v>Finanzas corporativas</v>
          </cell>
          <cell r="I11" t="str">
            <v>Servicios de asesoramiento</v>
          </cell>
          <cell r="J11" t="str">
            <v>Servicios financieros corporativos</v>
          </cell>
          <cell r="K11" t="str">
            <v>Fusión y adquisición</v>
          </cell>
        </row>
        <row r="12">
          <cell r="H12" t="str">
            <v>Finanzas corporativas</v>
          </cell>
          <cell r="I12" t="str">
            <v>Servicios de asesoramiento</v>
          </cell>
          <cell r="J12" t="str">
            <v>Servicios financieros corporativos</v>
          </cell>
          <cell r="K12" t="str">
            <v>Servicios de asesoría corporativa</v>
          </cell>
        </row>
        <row r="13">
          <cell r="G13" t="str">
            <v>Negociación y ventas-Derivados e Instrumentos negociables-</v>
          </cell>
          <cell r="H13" t="str">
            <v>Negociación y ventas</v>
          </cell>
          <cell r="I13" t="str">
            <v>Ventas</v>
          </cell>
          <cell r="J13" t="str">
            <v>Derivados e Instrumentos negociables</v>
          </cell>
          <cell r="K13" t="str">
            <v>Renta Fija</v>
          </cell>
        </row>
        <row r="14">
          <cell r="H14" t="str">
            <v>Negociación y ventas</v>
          </cell>
          <cell r="I14" t="str">
            <v>Creación de mercado</v>
          </cell>
          <cell r="J14" t="str">
            <v>Derivados e Instrumentos negociables</v>
          </cell>
          <cell r="K14" t="str">
            <v>Renta variable (acciones)</v>
          </cell>
        </row>
        <row r="15">
          <cell r="F15" t="str">
            <v>Mesa de Dinero-Creadores de Mercado</v>
          </cell>
          <cell r="G15" t="str">
            <v>Negociación y ventas-Derivados e Instrumentos negociables-Mesa de Dinero-Creadores de Mercado</v>
          </cell>
          <cell r="H15" t="str">
            <v>Negociación y ventas</v>
          </cell>
          <cell r="I15" t="str">
            <v>Posiciones propias</v>
          </cell>
          <cell r="J15" t="str">
            <v>Derivados e Instrumentos negociables</v>
          </cell>
          <cell r="K15" t="str">
            <v>Moneda extranjera e instrumentos del mercado monetario</v>
          </cell>
        </row>
        <row r="16">
          <cell r="H16" t="str">
            <v>Negociación y ventas</v>
          </cell>
          <cell r="I16" t="str">
            <v>Tesorería</v>
          </cell>
          <cell r="J16" t="str">
            <v>Derivados e Instrumentos negociables</v>
          </cell>
          <cell r="K16" t="str">
            <v>Repos</v>
          </cell>
        </row>
        <row r="17">
          <cell r="H17" t="str">
            <v>Negociación y ventas</v>
          </cell>
          <cell r="I17" t="str">
            <v>Tesorería</v>
          </cell>
          <cell r="J17" t="str">
            <v>Derivados e Instrumentos negociables</v>
          </cell>
          <cell r="K17" t="str">
            <v>OTC y Títulos derivados de tasa de interés</v>
          </cell>
        </row>
        <row r="18">
          <cell r="H18" t="str">
            <v>Negociación y ventas</v>
          </cell>
          <cell r="I18" t="str">
            <v>Tesorería</v>
          </cell>
          <cell r="J18" t="str">
            <v>Derivados e Instrumentos negociables</v>
          </cell>
          <cell r="K18" t="str">
            <v>OTC y derivados crediticios</v>
          </cell>
        </row>
        <row r="19">
          <cell r="F19" t="str">
            <v>Mesa Corporativa-Clientes Sector Real</v>
          </cell>
          <cell r="G19" t="str">
            <v>Negociación y ventas-Derivados e Instrumentos negociables-Mesa Corporativa-Clientes Sector Real</v>
          </cell>
          <cell r="H19" t="str">
            <v>Negociación y ventas</v>
          </cell>
          <cell r="I19" t="str">
            <v>Tesorería</v>
          </cell>
          <cell r="J19" t="str">
            <v>Derivados e Instrumentos negociables</v>
          </cell>
          <cell r="K19" t="str">
            <v>OTC y derivados de tipo de cambio / moneda extranjera</v>
          </cell>
        </row>
        <row r="20">
          <cell r="H20" t="str">
            <v>Negociación y ventas</v>
          </cell>
          <cell r="I20" t="str">
            <v>Tesorería</v>
          </cell>
          <cell r="J20" t="str">
            <v>Derivados e Instrumentos negociables</v>
          </cell>
          <cell r="K20" t="str">
            <v>OTC y derivados de renta variable</v>
          </cell>
        </row>
        <row r="21">
          <cell r="H21" t="str">
            <v>Negociación y ventas</v>
          </cell>
          <cell r="I21" t="str">
            <v>Tesorería</v>
          </cell>
          <cell r="J21" t="str">
            <v>Derivados e Instrumentos negociables</v>
          </cell>
          <cell r="K21" t="str">
            <v>OTC y derivados de commodities</v>
          </cell>
        </row>
        <row r="22">
          <cell r="H22" t="str">
            <v>Negociación y ventas</v>
          </cell>
          <cell r="I22" t="str">
            <v>Tesorería</v>
          </cell>
          <cell r="J22" t="str">
            <v>Derivados e Instrumentos negociables</v>
          </cell>
          <cell r="K22" t="str">
            <v>Otros OTC e instrumentos derivados</v>
          </cell>
        </row>
        <row r="23">
          <cell r="F23" t="str">
            <v>Cartera de Créditos- Banca Minorista_Hipotecario</v>
          </cell>
          <cell r="G23" t="str">
            <v>Banca minorista-Crédito minorista hipotecario-Cartera de Créditos- Banca Minorista_Hipotecario</v>
          </cell>
          <cell r="H23" t="str">
            <v>Banca minorista</v>
          </cell>
          <cell r="I23" t="str">
            <v>Banca minorista</v>
          </cell>
          <cell r="J23" t="str">
            <v>Crédito minorista hipotecario</v>
          </cell>
          <cell r="K23" t="str">
            <v>Préstamos</v>
          </cell>
        </row>
        <row r="24">
          <cell r="H24" t="str">
            <v>Banca minorista</v>
          </cell>
          <cell r="I24" t="str">
            <v>Banca minorista</v>
          </cell>
          <cell r="J24" t="str">
            <v>Crédito minorista hipotecario</v>
          </cell>
          <cell r="K24" t="str">
            <v>Mivivienda</v>
          </cell>
        </row>
        <row r="25">
          <cell r="H25" t="str">
            <v>Banca minorista</v>
          </cell>
          <cell r="I25" t="str">
            <v>Banca minorista</v>
          </cell>
          <cell r="J25" t="str">
            <v>Crédito minorista hipotecario</v>
          </cell>
          <cell r="K25" t="str">
            <v>Capitalización inmobiliaria</v>
          </cell>
        </row>
        <row r="26">
          <cell r="H26" t="str">
            <v>Banca minorista</v>
          </cell>
          <cell r="I26" t="str">
            <v>Banca minorista</v>
          </cell>
          <cell r="J26" t="str">
            <v>Crédito minorista hipotecario</v>
          </cell>
          <cell r="K26" t="str">
            <v>Otros créditos hipotecarios</v>
          </cell>
        </row>
        <row r="27">
          <cell r="H27" t="str">
            <v>Banca minorista</v>
          </cell>
          <cell r="I27" t="str">
            <v>Banca minorista</v>
          </cell>
          <cell r="J27" t="str">
            <v>Crédito minorista de consumo</v>
          </cell>
          <cell r="K27" t="str">
            <v>Avances en cuenta corriente</v>
          </cell>
        </row>
        <row r="28">
          <cell r="F28" t="str">
            <v>Tarjetas de Crédito</v>
          </cell>
          <cell r="G28" t="str">
            <v>Banca minorista-Crédito minorista de consumo-Tarjetas de Crédito</v>
          </cell>
          <cell r="H28" t="str">
            <v>Banca minorista</v>
          </cell>
          <cell r="I28" t="str">
            <v>Banca minorista</v>
          </cell>
          <cell r="J28" t="str">
            <v>Crédito minorista de consumo</v>
          </cell>
          <cell r="K28" t="str">
            <v>Tarjetas de crédito</v>
          </cell>
        </row>
        <row r="29">
          <cell r="H29" t="str">
            <v>Banca minorista</v>
          </cell>
          <cell r="I29" t="str">
            <v>Banca minorista</v>
          </cell>
          <cell r="J29" t="str">
            <v>Crédito minorista de consumo</v>
          </cell>
          <cell r="K29" t="str">
            <v>Sobregiros en cuenta corriente</v>
          </cell>
        </row>
        <row r="30">
          <cell r="H30" t="str">
            <v>Banca minorista</v>
          </cell>
          <cell r="I30" t="str">
            <v>Banca minorista</v>
          </cell>
          <cell r="J30" t="str">
            <v>Crédito minorista de consumo</v>
          </cell>
          <cell r="K30" t="str">
            <v>Arrendamiento financiero</v>
          </cell>
        </row>
        <row r="31">
          <cell r="H31" t="str">
            <v>Banca minorista</v>
          </cell>
          <cell r="I31" t="str">
            <v>Banca minorista</v>
          </cell>
          <cell r="J31" t="str">
            <v>Crédito minorista de consumo</v>
          </cell>
          <cell r="K31" t="str">
            <v>Lease-back</v>
          </cell>
        </row>
        <row r="32">
          <cell r="H32" t="str">
            <v>Banca minorista</v>
          </cell>
          <cell r="I32" t="str">
            <v>Banca minorista</v>
          </cell>
          <cell r="J32" t="str">
            <v>Crédito minorista de consumo</v>
          </cell>
          <cell r="K32" t="str">
            <v>Pignoraticio</v>
          </cell>
        </row>
        <row r="33">
          <cell r="F33" t="str">
            <v>Cartera de Créditos- Banca Minorista_Vehicular</v>
          </cell>
          <cell r="G33" t="str">
            <v>Banca minorista-Crédito minorista de consumo-Cartera de Créditos- Banca Minorista_Vehicular</v>
          </cell>
          <cell r="H33" t="str">
            <v>Banca minorista</v>
          </cell>
          <cell r="I33" t="str">
            <v>Banca minorista</v>
          </cell>
          <cell r="J33" t="str">
            <v>Crédito minorista de consumo</v>
          </cell>
          <cell r="K33" t="str">
            <v>Crédito automotriz</v>
          </cell>
        </row>
        <row r="34">
          <cell r="H34" t="str">
            <v>Banca minorista</v>
          </cell>
          <cell r="I34" t="str">
            <v>Banca minorista</v>
          </cell>
          <cell r="J34" t="str">
            <v>Crédito minorista de consumo</v>
          </cell>
          <cell r="K34" t="str">
            <v>Créditos con garantía hipotecaria (revolventes y no revolventes)</v>
          </cell>
        </row>
        <row r="35">
          <cell r="F35" t="str">
            <v>Cartera de Créditos- Banca Minorista_Préstamo</v>
          </cell>
          <cell r="G35" t="str">
            <v>Banca minorista-Crédito minorista de consumo-Cartera de Créditos- Banca Minorista_Préstamo</v>
          </cell>
          <cell r="H35" t="str">
            <v>Banca minorista</v>
          </cell>
          <cell r="I35" t="str">
            <v>Banca minorista</v>
          </cell>
          <cell r="J35" t="str">
            <v>Crédito minorista de consumo</v>
          </cell>
          <cell r="K35" t="str">
            <v>Préstamos revolventes (inc. Convenios)</v>
          </cell>
        </row>
        <row r="36">
          <cell r="F36" t="str">
            <v>Convenios</v>
          </cell>
          <cell r="G36" t="str">
            <v>Banca minorista-Crédito minorista de consumo-Convenios</v>
          </cell>
          <cell r="H36" t="str">
            <v>Banca minorista</v>
          </cell>
          <cell r="I36" t="str">
            <v>Banca minorista</v>
          </cell>
          <cell r="J36" t="str">
            <v>Crédito minorista de consumo</v>
          </cell>
          <cell r="K36" t="str">
            <v>Préstamos no revolventes (inc. Convenios)</v>
          </cell>
        </row>
        <row r="37">
          <cell r="H37" t="str">
            <v>Banca minorista</v>
          </cell>
          <cell r="I37" t="str">
            <v>Banca minorista</v>
          </cell>
          <cell r="J37" t="str">
            <v>Crédito minorista de consumo</v>
          </cell>
          <cell r="K37" t="str">
            <v>Avales / Cartas fianza / Carta de crédito</v>
          </cell>
        </row>
        <row r="38">
          <cell r="H38" t="str">
            <v>Banca minorista</v>
          </cell>
          <cell r="I38" t="str">
            <v>Banca minorista</v>
          </cell>
          <cell r="J38" t="str">
            <v>Crédito minorista de consumo</v>
          </cell>
          <cell r="K38" t="str">
            <v>Otros créditos</v>
          </cell>
        </row>
        <row r="39">
          <cell r="H39" t="str">
            <v>Banca minorista</v>
          </cell>
          <cell r="I39" t="str">
            <v>Banca minorista</v>
          </cell>
          <cell r="J39" t="str">
            <v>Crédito minorista microempresas</v>
          </cell>
          <cell r="K39" t="str">
            <v>Avances en cuenta corriente</v>
          </cell>
        </row>
        <row r="40">
          <cell r="H40" t="str">
            <v>Banca minorista</v>
          </cell>
          <cell r="I40" t="str">
            <v>Banca minorista</v>
          </cell>
          <cell r="J40" t="str">
            <v>Crédito minorista microempresas</v>
          </cell>
          <cell r="K40" t="str">
            <v>Tarjetas de crédito</v>
          </cell>
        </row>
        <row r="41">
          <cell r="H41" t="str">
            <v>Banca minorista</v>
          </cell>
          <cell r="I41" t="str">
            <v>Banca minorista</v>
          </cell>
          <cell r="J41" t="str">
            <v>Crédito minorista microempresas</v>
          </cell>
          <cell r="K41" t="str">
            <v>Sobregiros en cuenta corriente</v>
          </cell>
        </row>
        <row r="42">
          <cell r="H42" t="str">
            <v>Banca minorista</v>
          </cell>
          <cell r="I42" t="str">
            <v>Banca minorista</v>
          </cell>
          <cell r="J42" t="str">
            <v>Crédito minorista microempresas</v>
          </cell>
          <cell r="K42" t="str">
            <v>Descuentos (pagarés y letras)</v>
          </cell>
        </row>
        <row r="43">
          <cell r="H43" t="str">
            <v>Banca minorista</v>
          </cell>
          <cell r="I43" t="str">
            <v>Banca minorista</v>
          </cell>
          <cell r="J43" t="str">
            <v>Crédito minorista microempresas</v>
          </cell>
          <cell r="K43" t="str">
            <v>Préstamos revolventes</v>
          </cell>
        </row>
        <row r="44">
          <cell r="H44" t="str">
            <v>Banca minorista</v>
          </cell>
          <cell r="I44" t="str">
            <v>Banca minorista</v>
          </cell>
          <cell r="J44" t="str">
            <v>Crédito minorista microempresas</v>
          </cell>
          <cell r="K44" t="str">
            <v>Préstamos no revolventes</v>
          </cell>
        </row>
        <row r="45">
          <cell r="H45" t="str">
            <v>Banca minorista</v>
          </cell>
          <cell r="I45" t="str">
            <v>Banca minorista</v>
          </cell>
          <cell r="J45" t="str">
            <v>Crédito minorista microempresas</v>
          </cell>
          <cell r="K45" t="str">
            <v>Capitalización inmobiliaria</v>
          </cell>
        </row>
        <row r="46">
          <cell r="H46" t="str">
            <v>Banca minorista</v>
          </cell>
          <cell r="I46" t="str">
            <v>Banca minorista</v>
          </cell>
          <cell r="J46" t="str">
            <v>Crédito minorista microempresas</v>
          </cell>
          <cell r="K46" t="str">
            <v>Factoring</v>
          </cell>
        </row>
        <row r="47">
          <cell r="H47" t="str">
            <v>Banca minorista</v>
          </cell>
          <cell r="I47" t="str">
            <v>Banca minorista</v>
          </cell>
          <cell r="J47" t="str">
            <v>Crédito minorista microempresas</v>
          </cell>
          <cell r="K47" t="str">
            <v>Arrendamiento financiero</v>
          </cell>
        </row>
        <row r="48">
          <cell r="H48" t="str">
            <v>Banca minorista</v>
          </cell>
          <cell r="I48" t="str">
            <v>Banca minorista</v>
          </cell>
          <cell r="J48" t="str">
            <v>Crédito minorista microempresas</v>
          </cell>
          <cell r="K48" t="str">
            <v>Lease-back</v>
          </cell>
        </row>
        <row r="49">
          <cell r="H49" t="str">
            <v>Banca minorista</v>
          </cell>
          <cell r="I49" t="str">
            <v>Banca minorista</v>
          </cell>
          <cell r="J49" t="str">
            <v>Crédito minorista microempresas</v>
          </cell>
          <cell r="K49" t="str">
            <v>Comercio exterior</v>
          </cell>
        </row>
        <row r="50">
          <cell r="H50" t="str">
            <v>Banca minorista</v>
          </cell>
          <cell r="I50" t="str">
            <v>Banca minorista</v>
          </cell>
          <cell r="J50" t="str">
            <v>Crédito minorista microempresas</v>
          </cell>
          <cell r="K50" t="str">
            <v>Crédito inmobiliario</v>
          </cell>
        </row>
        <row r="51">
          <cell r="H51" t="str">
            <v>Banca minorista</v>
          </cell>
          <cell r="I51" t="str">
            <v>Banca minorista</v>
          </cell>
          <cell r="J51" t="str">
            <v>Crédito minorista microempresas</v>
          </cell>
          <cell r="K51" t="str">
            <v>Avales / Cartas fianza / Carta de crédito</v>
          </cell>
        </row>
        <row r="52">
          <cell r="H52" t="str">
            <v>Banca minorista</v>
          </cell>
          <cell r="I52" t="str">
            <v>Banca minorista</v>
          </cell>
          <cell r="J52" t="str">
            <v>Crédito minorista microempresas</v>
          </cell>
          <cell r="K52" t="str">
            <v>Otros créditos</v>
          </cell>
        </row>
        <row r="53">
          <cell r="H53" t="str">
            <v>Banca minorista</v>
          </cell>
          <cell r="I53" t="str">
            <v>Banca minorista</v>
          </cell>
          <cell r="J53" t="str">
            <v>Crédito minorista pequeñas empresas</v>
          </cell>
          <cell r="K53" t="str">
            <v>Avances en cuenta corriente</v>
          </cell>
        </row>
        <row r="54">
          <cell r="H54" t="str">
            <v>Banca minorista</v>
          </cell>
          <cell r="I54" t="str">
            <v>Banca minorista</v>
          </cell>
          <cell r="J54" t="str">
            <v>Crédito minorista pequeñas empresas</v>
          </cell>
          <cell r="K54" t="str">
            <v>Tarjetas de crédito</v>
          </cell>
        </row>
        <row r="55">
          <cell r="H55" t="str">
            <v>Banca minorista</v>
          </cell>
          <cell r="I55" t="str">
            <v>Banca minorista</v>
          </cell>
          <cell r="J55" t="str">
            <v>Crédito minorista pequeñas empresas</v>
          </cell>
          <cell r="K55" t="str">
            <v>Sobregiros en cuenta corriente</v>
          </cell>
        </row>
        <row r="56">
          <cell r="H56" t="str">
            <v>Banca minorista</v>
          </cell>
          <cell r="I56" t="str">
            <v>Banca minorista</v>
          </cell>
          <cell r="J56" t="str">
            <v>Crédito minorista pequeñas empresas</v>
          </cell>
          <cell r="K56" t="str">
            <v>Descuentos (pagarés y letras)</v>
          </cell>
        </row>
        <row r="57">
          <cell r="H57" t="str">
            <v>Banca minorista</v>
          </cell>
          <cell r="I57" t="str">
            <v>Banca minorista</v>
          </cell>
          <cell r="J57" t="str">
            <v>Crédito minorista pequeñas empresas</v>
          </cell>
          <cell r="K57" t="str">
            <v>Préstamos revolventes</v>
          </cell>
        </row>
        <row r="58">
          <cell r="H58" t="str">
            <v>Banca minorista</v>
          </cell>
          <cell r="I58" t="str">
            <v>Banca minorista</v>
          </cell>
          <cell r="J58" t="str">
            <v>Crédito minorista pequeñas empresas</v>
          </cell>
          <cell r="K58" t="str">
            <v>Préstamos no revolventes</v>
          </cell>
        </row>
        <row r="59">
          <cell r="H59" t="str">
            <v>Banca minorista</v>
          </cell>
          <cell r="I59" t="str">
            <v>Banca minorista</v>
          </cell>
          <cell r="J59" t="str">
            <v>Crédito minorista pequeñas empresas</v>
          </cell>
          <cell r="K59" t="str">
            <v>Capitalización inmobiliaria</v>
          </cell>
        </row>
        <row r="60">
          <cell r="H60" t="str">
            <v>Banca minorista</v>
          </cell>
          <cell r="I60" t="str">
            <v>Banca minorista</v>
          </cell>
          <cell r="J60" t="str">
            <v>Crédito minorista pequeñas empresas</v>
          </cell>
          <cell r="K60" t="str">
            <v>Factoring</v>
          </cell>
        </row>
        <row r="61">
          <cell r="H61" t="str">
            <v>Banca minorista</v>
          </cell>
          <cell r="I61" t="str">
            <v>Banca minorista</v>
          </cell>
          <cell r="J61" t="str">
            <v>Crédito minorista pequeñas empresas</v>
          </cell>
          <cell r="K61" t="str">
            <v>Arrendamiento financiero</v>
          </cell>
        </row>
        <row r="62">
          <cell r="H62" t="str">
            <v>Banca minorista</v>
          </cell>
          <cell r="I62" t="str">
            <v>Banca minorista</v>
          </cell>
          <cell r="J62" t="str">
            <v>Crédito minorista pequeñas empresas</v>
          </cell>
          <cell r="K62" t="str">
            <v>Lease-back</v>
          </cell>
        </row>
        <row r="63">
          <cell r="H63" t="str">
            <v>Banca minorista</v>
          </cell>
          <cell r="I63" t="str">
            <v>Banca minorista</v>
          </cell>
          <cell r="J63" t="str">
            <v>Crédito minorista pequeñas empresas</v>
          </cell>
          <cell r="K63" t="str">
            <v>Comercio exterior</v>
          </cell>
        </row>
        <row r="64">
          <cell r="H64" t="str">
            <v>Banca minorista</v>
          </cell>
          <cell r="I64" t="str">
            <v>Banca minorista</v>
          </cell>
          <cell r="J64" t="str">
            <v>Crédito minorista pequeñas empresas</v>
          </cell>
          <cell r="K64" t="str">
            <v>Crédito inmobiliario</v>
          </cell>
        </row>
        <row r="65">
          <cell r="H65" t="str">
            <v>Banca minorista</v>
          </cell>
          <cell r="I65" t="str">
            <v>Banca minorista</v>
          </cell>
          <cell r="J65" t="str">
            <v>Crédito minorista pequeñas empresas</v>
          </cell>
          <cell r="K65" t="str">
            <v>Avales / Cartas fianza / Carta de crédito</v>
          </cell>
        </row>
        <row r="66">
          <cell r="H66" t="str">
            <v>Banca minorista</v>
          </cell>
          <cell r="I66" t="str">
            <v>Banca minorista</v>
          </cell>
          <cell r="J66" t="str">
            <v>Crédito minorista pequeñas empresas</v>
          </cell>
          <cell r="K66" t="str">
            <v>Otros créditos</v>
          </cell>
        </row>
        <row r="67">
          <cell r="F67" t="str">
            <v>Cuenta Corriente_BM</v>
          </cell>
          <cell r="G67" t="str">
            <v>Banca minorista-Depósito minorista-Cuenta Corriente_BM</v>
          </cell>
          <cell r="H67" t="str">
            <v>Banca minorista</v>
          </cell>
          <cell r="I67" t="str">
            <v>Banca minorista</v>
          </cell>
          <cell r="J67" t="str">
            <v>Depósito minorista</v>
          </cell>
          <cell r="K67" t="str">
            <v>Depósitos en cuenta corriente</v>
          </cell>
        </row>
        <row r="68">
          <cell r="F68" t="str">
            <v>Cuenta Ahorro</v>
          </cell>
          <cell r="G68" t="str">
            <v>Banca minorista-Depósito minorista-Cuenta Ahorro</v>
          </cell>
          <cell r="H68" t="str">
            <v>Banca minorista</v>
          </cell>
          <cell r="I68" t="str">
            <v>Banca minorista</v>
          </cell>
          <cell r="J68" t="str">
            <v>Depósito minorista</v>
          </cell>
          <cell r="K68" t="str">
            <v>Depósitos de ahorro (activos e inactivos)</v>
          </cell>
        </row>
        <row r="69">
          <cell r="F69" t="str">
            <v>Depósito a Plazo_BM</v>
          </cell>
          <cell r="G69" t="str">
            <v>Banca minorista-Depósito minorista-Depósito a Plazo_BM</v>
          </cell>
          <cell r="H69" t="str">
            <v>Banca minorista</v>
          </cell>
          <cell r="I69" t="str">
            <v>Banca minorista</v>
          </cell>
          <cell r="J69" t="str">
            <v>Depósito minorista</v>
          </cell>
          <cell r="K69" t="str">
            <v>Cuentas a plazo</v>
          </cell>
        </row>
        <row r="70">
          <cell r="H70" t="str">
            <v>Banca minorista</v>
          </cell>
          <cell r="I70" t="str">
            <v>Banca minorista</v>
          </cell>
          <cell r="J70" t="str">
            <v>Depósito minorista</v>
          </cell>
          <cell r="K70" t="str">
            <v>Depósitos para planes progresivos</v>
          </cell>
        </row>
        <row r="71">
          <cell r="F71" t="str">
            <v>Cuenta Ahorro</v>
          </cell>
          <cell r="G71" t="str">
            <v>Banca minorista-Depósito minorista-Cuenta Ahorro</v>
          </cell>
          <cell r="H71" t="str">
            <v>Banca minorista</v>
          </cell>
          <cell r="I71" t="str">
            <v>Banca minorista</v>
          </cell>
          <cell r="J71" t="str">
            <v>Depósito minorista</v>
          </cell>
          <cell r="K71" t="str">
            <v>Depósitos compensación de tiempo de servicios</v>
          </cell>
        </row>
        <row r="72">
          <cell r="H72" t="str">
            <v>Banca comercial</v>
          </cell>
          <cell r="I72" t="str">
            <v>Banca comercial</v>
          </cell>
          <cell r="J72" t="str">
            <v>Crédito medianas empresas</v>
          </cell>
          <cell r="K72" t="str">
            <v>Avances en cuenta corriente</v>
          </cell>
        </row>
        <row r="73">
          <cell r="H73" t="str">
            <v>Banca comercial</v>
          </cell>
          <cell r="I73" t="str">
            <v>Banca comercial</v>
          </cell>
          <cell r="J73" t="str">
            <v>Crédito medianas empresas</v>
          </cell>
          <cell r="K73" t="str">
            <v>Tarjetas de crédito</v>
          </cell>
        </row>
        <row r="74">
          <cell r="F74" t="str">
            <v>Cuenta Corriente_BCS</v>
          </cell>
          <cell r="G74" t="str">
            <v>Banca comercial-Crédito medianas empresas-Cuenta Corriente_BCS</v>
          </cell>
          <cell r="H74" t="str">
            <v>Banca comercial</v>
          </cell>
          <cell r="I74" t="str">
            <v>Banca comercial</v>
          </cell>
          <cell r="J74" t="str">
            <v>Crédito medianas empresas</v>
          </cell>
          <cell r="K74" t="str">
            <v>Sobregiros en cuenta corriente</v>
          </cell>
        </row>
        <row r="75">
          <cell r="F75" t="str">
            <v>Descuento de Letras</v>
          </cell>
          <cell r="G75" t="str">
            <v>Banca comercial-Crédito medianas empresas-Descuento de Letras</v>
          </cell>
          <cell r="H75" t="str">
            <v>Banca comercial</v>
          </cell>
          <cell r="I75" t="str">
            <v>Banca comercial</v>
          </cell>
          <cell r="J75" t="str">
            <v>Crédito medianas empresas</v>
          </cell>
          <cell r="K75" t="str">
            <v>Descuentos</v>
          </cell>
        </row>
        <row r="76">
          <cell r="F76" t="str">
            <v>Cartera de Créditos- Banca Comercial_Préstamo Medianas Empresas</v>
          </cell>
          <cell r="G76" t="str">
            <v>Banca comercial-Crédito medianas empresas-Cartera de Créditos- Banca Comercial_Préstamo Medianas Empresas</v>
          </cell>
          <cell r="H76" t="str">
            <v>Banca comercial</v>
          </cell>
          <cell r="I76" t="str">
            <v>Banca comercial</v>
          </cell>
          <cell r="J76" t="str">
            <v>Crédito medianas empresas</v>
          </cell>
          <cell r="K76" t="str">
            <v>Préstamos revolventes</v>
          </cell>
        </row>
        <row r="77">
          <cell r="F77" t="str">
            <v>Cartera de Créditos- Banca Comercial_Préstamo Medianas Empresas</v>
          </cell>
          <cell r="G77" t="str">
            <v>Banca comercial-Crédito medianas empresas-Cartera de Créditos- Banca Comercial_Préstamo Medianas Empresas</v>
          </cell>
          <cell r="H77" t="str">
            <v>Banca comercial</v>
          </cell>
          <cell r="I77" t="str">
            <v>Banca comercial</v>
          </cell>
          <cell r="J77" t="str">
            <v>Crédito medianas empresas</v>
          </cell>
          <cell r="K77" t="str">
            <v>Préstamos no revolventes</v>
          </cell>
        </row>
        <row r="78">
          <cell r="H78" t="str">
            <v>Banca comercial</v>
          </cell>
          <cell r="I78" t="str">
            <v>Banca comercial</v>
          </cell>
          <cell r="J78" t="str">
            <v>Crédito medianas empresas</v>
          </cell>
          <cell r="K78" t="str">
            <v>Capitalización inmobiliaria</v>
          </cell>
        </row>
        <row r="79">
          <cell r="H79" t="str">
            <v>Banca comercial</v>
          </cell>
          <cell r="I79" t="str">
            <v>Banca comercial</v>
          </cell>
          <cell r="J79" t="str">
            <v>Crédito medianas empresas</v>
          </cell>
          <cell r="K79" t="str">
            <v>Factoring</v>
          </cell>
        </row>
        <row r="80">
          <cell r="F80" t="str">
            <v>Leasing</v>
          </cell>
          <cell r="G80" t="str">
            <v>Banca comercial-Crédito medianas empresas-Leasing</v>
          </cell>
          <cell r="H80" t="str">
            <v>Banca comercial</v>
          </cell>
          <cell r="I80" t="str">
            <v>Banca comercial</v>
          </cell>
          <cell r="J80" t="str">
            <v>Crédito medianas empresas</v>
          </cell>
          <cell r="K80" t="str">
            <v>Arrendamiento financiero</v>
          </cell>
        </row>
        <row r="81">
          <cell r="H81" t="str">
            <v>Banca comercial</v>
          </cell>
          <cell r="I81" t="str">
            <v>Banca comercial</v>
          </cell>
          <cell r="J81" t="str">
            <v>Crédito medianas empresas</v>
          </cell>
          <cell r="K81" t="str">
            <v>Lease-back</v>
          </cell>
        </row>
        <row r="82">
          <cell r="F82" t="str">
            <v>Comercio Exterior</v>
          </cell>
          <cell r="G82" t="str">
            <v>Banca comercial-Crédito medianas empresas-Comercio Exterior</v>
          </cell>
          <cell r="H82" t="str">
            <v>Banca comercial</v>
          </cell>
          <cell r="I82" t="str">
            <v>Banca comercial</v>
          </cell>
          <cell r="J82" t="str">
            <v>Crédito medianas empresas</v>
          </cell>
          <cell r="K82" t="str">
            <v>Comercio exterior</v>
          </cell>
        </row>
        <row r="83">
          <cell r="F83" t="str">
            <v>Cartera de Créditos- Banca Comercial_Hipotecario Medianas Empresas</v>
          </cell>
          <cell r="G83" t="str">
            <v>Banca comercial-Crédito medianas empresas-Cartera de Créditos- Banca Comercial_Hipotecario Medianas Empresas</v>
          </cell>
          <cell r="H83" t="str">
            <v>Banca comercial</v>
          </cell>
          <cell r="I83" t="str">
            <v>Banca comercial</v>
          </cell>
          <cell r="J83" t="str">
            <v>Crédito medianas empresas</v>
          </cell>
          <cell r="K83" t="str">
            <v>Crédito inmobiliario</v>
          </cell>
        </row>
        <row r="84">
          <cell r="F84" t="str">
            <v>Cartera de Créditos- Banca Comercial_Financiación Medianas Empresas</v>
          </cell>
          <cell r="G84" t="str">
            <v>Banca comercial-Crédito medianas empresas-Cartera de Créditos- Banca Comercial_Financiación Medianas Empresas</v>
          </cell>
          <cell r="H84" t="str">
            <v>Banca comercial</v>
          </cell>
          <cell r="I84" t="str">
            <v>Banca comercial</v>
          </cell>
          <cell r="J84" t="str">
            <v>Crédito medianas empresas</v>
          </cell>
          <cell r="K84" t="str">
            <v>Financiación estructurada</v>
          </cell>
        </row>
        <row r="85">
          <cell r="F85" t="str">
            <v>Fianzas</v>
          </cell>
          <cell r="G85" t="str">
            <v>Banca comercial-Crédito medianas empresas-Fianzas</v>
          </cell>
          <cell r="H85" t="str">
            <v>Banca comercial</v>
          </cell>
          <cell r="I85" t="str">
            <v>Banca comercial</v>
          </cell>
          <cell r="J85" t="str">
            <v>Crédito medianas empresas</v>
          </cell>
          <cell r="K85" t="str">
            <v>Avales / Cartas fianza / Carta de crédito</v>
          </cell>
        </row>
        <row r="86">
          <cell r="H86" t="str">
            <v>Banca comercial</v>
          </cell>
          <cell r="I86" t="str">
            <v>Banca comercial</v>
          </cell>
          <cell r="J86" t="str">
            <v>Crédito medianas empresas</v>
          </cell>
          <cell r="K86" t="str">
            <v>Otros créditos</v>
          </cell>
        </row>
        <row r="87">
          <cell r="H87" t="str">
            <v>Banca comercial</v>
          </cell>
          <cell r="I87" t="str">
            <v>Banca comercial</v>
          </cell>
          <cell r="J87" t="str">
            <v>Crédito grandes empresas</v>
          </cell>
          <cell r="K87" t="str">
            <v>Avances en cuenta corriente</v>
          </cell>
        </row>
        <row r="88">
          <cell r="H88" t="str">
            <v>Banca comercial</v>
          </cell>
          <cell r="I88" t="str">
            <v>Banca comercial</v>
          </cell>
          <cell r="J88" t="str">
            <v>Crédito grandes empresas</v>
          </cell>
          <cell r="K88" t="str">
            <v>Tarjetas de crédito</v>
          </cell>
        </row>
        <row r="89">
          <cell r="F89" t="str">
            <v>Cuenta Corriente_BCS</v>
          </cell>
          <cell r="G89" t="str">
            <v>Banca comercial-Crédito grandes empresas-Cuenta Corriente_BCS</v>
          </cell>
          <cell r="H89" t="str">
            <v>Banca comercial</v>
          </cell>
          <cell r="I89" t="str">
            <v>Banca comercial</v>
          </cell>
          <cell r="J89" t="str">
            <v>Crédito grandes empresas</v>
          </cell>
          <cell r="K89" t="str">
            <v>Sobregiros en cuenta corriente</v>
          </cell>
        </row>
        <row r="90">
          <cell r="F90" t="str">
            <v>Descuento de Letras</v>
          </cell>
          <cell r="G90" t="str">
            <v>Banca comercial-Crédito grandes empresas-Descuento de Letras</v>
          </cell>
          <cell r="H90" t="str">
            <v>Banca comercial</v>
          </cell>
          <cell r="I90" t="str">
            <v>Banca comercial</v>
          </cell>
          <cell r="J90" t="str">
            <v>Crédito grandes empresas</v>
          </cell>
          <cell r="K90" t="str">
            <v>Descuentos</v>
          </cell>
        </row>
        <row r="91">
          <cell r="F91" t="str">
            <v>Cartera de Créditos- Banca Comercial_Préstamos Grandes Empresas</v>
          </cell>
          <cell r="G91" t="str">
            <v>Banca comercial-Crédito grandes empresas-Cartera de Créditos- Banca Comercial_Préstamos Grandes Empresas</v>
          </cell>
          <cell r="H91" t="str">
            <v>Banca comercial</v>
          </cell>
          <cell r="I91" t="str">
            <v>Banca comercial</v>
          </cell>
          <cell r="J91" t="str">
            <v>Crédito grandes empresas</v>
          </cell>
          <cell r="K91" t="str">
            <v>Préstamos revolventes</v>
          </cell>
        </row>
        <row r="92">
          <cell r="F92" t="str">
            <v>Cartera de Créditos- Banca Comercial_Préstamos Grandes Empresas</v>
          </cell>
          <cell r="G92" t="str">
            <v>Banca comercial-Crédito grandes empresas-Cartera de Créditos- Banca Comercial_Préstamos Grandes Empresas</v>
          </cell>
          <cell r="H92" t="str">
            <v>Banca comercial</v>
          </cell>
          <cell r="I92" t="str">
            <v>Banca comercial</v>
          </cell>
          <cell r="J92" t="str">
            <v>Crédito grandes empresas</v>
          </cell>
          <cell r="K92" t="str">
            <v>Préstamos no revolventes</v>
          </cell>
        </row>
        <row r="93">
          <cell r="H93" t="str">
            <v>Banca comercial</v>
          </cell>
          <cell r="I93" t="str">
            <v>Banca comercial</v>
          </cell>
          <cell r="J93" t="str">
            <v>Crédito grandes empresas</v>
          </cell>
          <cell r="K93" t="str">
            <v>Capitalización inmobiliaria</v>
          </cell>
        </row>
        <row r="94">
          <cell r="H94" t="str">
            <v>Banca comercial</v>
          </cell>
          <cell r="I94" t="str">
            <v>Banca comercial</v>
          </cell>
          <cell r="J94" t="str">
            <v>Crédito grandes empresas</v>
          </cell>
          <cell r="K94" t="str">
            <v>Factoring</v>
          </cell>
        </row>
        <row r="95">
          <cell r="F95" t="str">
            <v>Leasing</v>
          </cell>
          <cell r="G95" t="str">
            <v>Banca comercial-Crédito grandes empresas-Leasing</v>
          </cell>
          <cell r="H95" t="str">
            <v>Banca comercial</v>
          </cell>
          <cell r="I95" t="str">
            <v>Banca comercial</v>
          </cell>
          <cell r="J95" t="str">
            <v>Crédito grandes empresas</v>
          </cell>
          <cell r="K95" t="str">
            <v>Arrendamiento financiero</v>
          </cell>
        </row>
        <row r="96">
          <cell r="H96" t="str">
            <v>Banca comercial</v>
          </cell>
          <cell r="I96" t="str">
            <v>Banca comercial</v>
          </cell>
          <cell r="J96" t="str">
            <v>Crédito grandes empresas</v>
          </cell>
          <cell r="K96" t="str">
            <v>Lease-back</v>
          </cell>
        </row>
        <row r="97">
          <cell r="F97" t="str">
            <v>Comercio Exterior</v>
          </cell>
          <cell r="G97" t="str">
            <v>Banca comercial-Crédito grandes empresas-Comercio Exterior</v>
          </cell>
          <cell r="H97" t="str">
            <v>Banca comercial</v>
          </cell>
          <cell r="I97" t="str">
            <v>Banca comercial</v>
          </cell>
          <cell r="J97" t="str">
            <v>Crédito grandes empresas</v>
          </cell>
          <cell r="K97" t="str">
            <v>Comercio exterior</v>
          </cell>
        </row>
        <row r="98">
          <cell r="F98" t="str">
            <v>Cartera de Créditos- Banca Comercial_Hipotecario Grandes Empresas</v>
          </cell>
          <cell r="G98" t="str">
            <v>Banca comercial-Crédito grandes empresas-Cartera de Créditos- Banca Comercial_Hipotecario Grandes Empresas</v>
          </cell>
          <cell r="H98" t="str">
            <v>Banca comercial</v>
          </cell>
          <cell r="I98" t="str">
            <v>Banca comercial</v>
          </cell>
          <cell r="J98" t="str">
            <v>Crédito grandes empresas</v>
          </cell>
          <cell r="K98" t="str">
            <v>Crédito inmobiliario</v>
          </cell>
        </row>
        <row r="99">
          <cell r="F99" t="str">
            <v>Cartera de Créditos- Banca Comercial_Financiación Grandes Empresas</v>
          </cell>
          <cell r="G99" t="str">
            <v>Banca comercial-Crédito grandes empresas-Cartera de Créditos- Banca Comercial_Financiación Grandes Empresas</v>
          </cell>
          <cell r="H99" t="str">
            <v>Banca comercial</v>
          </cell>
          <cell r="I99" t="str">
            <v>Banca comercial</v>
          </cell>
          <cell r="J99" t="str">
            <v>Crédito grandes empresas</v>
          </cell>
          <cell r="K99" t="str">
            <v>Financiación estructurada</v>
          </cell>
        </row>
        <row r="100">
          <cell r="F100" t="str">
            <v>Fianzas</v>
          </cell>
          <cell r="G100" t="str">
            <v>Banca comercial-Crédito grandes empresas-Fianzas</v>
          </cell>
          <cell r="H100" t="str">
            <v>Banca comercial</v>
          </cell>
          <cell r="I100" t="str">
            <v>Banca comercial</v>
          </cell>
          <cell r="J100" t="str">
            <v>Crédito grandes empresas</v>
          </cell>
          <cell r="K100" t="str">
            <v>Avales / Cartas fianza / Carta de crédito</v>
          </cell>
        </row>
        <row r="101">
          <cell r="H101" t="str">
            <v>Banca comercial</v>
          </cell>
          <cell r="I101" t="str">
            <v>Banca comercial</v>
          </cell>
          <cell r="J101" t="str">
            <v>Crédito grandes empresas</v>
          </cell>
          <cell r="K101" t="str">
            <v>Otros créditos</v>
          </cell>
        </row>
        <row r="102">
          <cell r="H102" t="str">
            <v>Banca comercial</v>
          </cell>
          <cell r="I102" t="str">
            <v>Banca comercial</v>
          </cell>
          <cell r="J102" t="str">
            <v>Crédito corporativo</v>
          </cell>
          <cell r="K102" t="str">
            <v>Avances en cuenta corriente</v>
          </cell>
        </row>
        <row r="103">
          <cell r="H103" t="str">
            <v>Banca comercial</v>
          </cell>
          <cell r="I103" t="str">
            <v>Banca comercial</v>
          </cell>
          <cell r="J103" t="str">
            <v>Crédito corporativo</v>
          </cell>
          <cell r="K103" t="str">
            <v>Tarjetas de crédito</v>
          </cell>
        </row>
        <row r="104">
          <cell r="F104" t="str">
            <v>Cuenta Corriente_BCS</v>
          </cell>
          <cell r="G104" t="str">
            <v>Banca comercial-Crédito corporativo-Cuenta Corriente_BCS</v>
          </cell>
          <cell r="H104" t="str">
            <v>Banca comercial</v>
          </cell>
          <cell r="I104" t="str">
            <v>Banca comercial</v>
          </cell>
          <cell r="J104" t="str">
            <v>Crédito corporativo</v>
          </cell>
          <cell r="K104" t="str">
            <v>Sobregiros en cuenta corriente</v>
          </cell>
        </row>
        <row r="105">
          <cell r="F105" t="str">
            <v>Descuento de Letras</v>
          </cell>
          <cell r="G105" t="str">
            <v>Banca comercial-Crédito corporativo-Descuento de Letras</v>
          </cell>
          <cell r="H105" t="str">
            <v>Banca comercial</v>
          </cell>
          <cell r="I105" t="str">
            <v>Banca comercial</v>
          </cell>
          <cell r="J105" t="str">
            <v>Crédito corporativo</v>
          </cell>
          <cell r="K105" t="str">
            <v>Descuentos</v>
          </cell>
        </row>
        <row r="106">
          <cell r="F106" t="str">
            <v>Cartera de Créditos- Banca Comercial_Préstamo Corporativo</v>
          </cell>
          <cell r="G106" t="str">
            <v>Banca comercial-Crédito corporativo-Cartera de Créditos- Banca Comercial_Préstamo Corporativo</v>
          </cell>
          <cell r="H106" t="str">
            <v>Banca comercial</v>
          </cell>
          <cell r="I106" t="str">
            <v>Banca comercial</v>
          </cell>
          <cell r="J106" t="str">
            <v>Crédito corporativo</v>
          </cell>
          <cell r="K106" t="str">
            <v>Préstamos revolventes</v>
          </cell>
        </row>
        <row r="107">
          <cell r="F107" t="str">
            <v>Cartera de Créditos- Banca Comercial_Préstamo Corporativo</v>
          </cell>
          <cell r="G107" t="str">
            <v>Banca comercial-Crédito corporativo-Cartera de Créditos- Banca Comercial_Préstamo Corporativo</v>
          </cell>
          <cell r="H107" t="str">
            <v>Banca comercial</v>
          </cell>
          <cell r="I107" t="str">
            <v>Banca comercial</v>
          </cell>
          <cell r="J107" t="str">
            <v>Crédito corporativo</v>
          </cell>
          <cell r="K107" t="str">
            <v>Préstamos no revolventes</v>
          </cell>
        </row>
        <row r="108">
          <cell r="H108" t="str">
            <v>Banca comercial</v>
          </cell>
          <cell r="I108" t="str">
            <v>Banca comercial</v>
          </cell>
          <cell r="J108" t="str">
            <v>Crédito corporativo</v>
          </cell>
          <cell r="K108" t="str">
            <v>Capitalización inmobiliaria</v>
          </cell>
        </row>
        <row r="109">
          <cell r="H109" t="str">
            <v>Banca comercial</v>
          </cell>
          <cell r="I109" t="str">
            <v>Banca comercial</v>
          </cell>
          <cell r="J109" t="str">
            <v>Crédito corporativo</v>
          </cell>
          <cell r="K109" t="str">
            <v>Factoring</v>
          </cell>
        </row>
        <row r="110">
          <cell r="F110" t="str">
            <v>Leasing</v>
          </cell>
          <cell r="G110" t="str">
            <v>Banca comercial-Crédito corporativo-Leasing</v>
          </cell>
          <cell r="H110" t="str">
            <v>Banca comercial</v>
          </cell>
          <cell r="I110" t="str">
            <v>Banca comercial</v>
          </cell>
          <cell r="J110" t="str">
            <v>Crédito corporativo</v>
          </cell>
          <cell r="K110" t="str">
            <v>Arrendamiento financiero</v>
          </cell>
        </row>
        <row r="111">
          <cell r="H111" t="str">
            <v>Banca comercial</v>
          </cell>
          <cell r="I111" t="str">
            <v>Banca comercial</v>
          </cell>
          <cell r="J111" t="str">
            <v>Crédito corporativo</v>
          </cell>
          <cell r="K111" t="str">
            <v>Lease-back</v>
          </cell>
        </row>
        <row r="112">
          <cell r="F112" t="str">
            <v>Comercio Exterior</v>
          </cell>
          <cell r="G112" t="str">
            <v>Banca comercial-Crédito corporativo-Comercio Exterior</v>
          </cell>
          <cell r="H112" t="str">
            <v>Banca comercial</v>
          </cell>
          <cell r="I112" t="str">
            <v>Banca comercial</v>
          </cell>
          <cell r="J112" t="str">
            <v>Crédito corporativo</v>
          </cell>
          <cell r="K112" t="str">
            <v>Comercio exterior</v>
          </cell>
        </row>
        <row r="113">
          <cell r="F113" t="str">
            <v>Cartera de Créditos- Banca Comercial_Hipotecario Corporativo</v>
          </cell>
          <cell r="G113" t="str">
            <v>Banca comercial-Crédito corporativo-Cartera de Créditos- Banca Comercial_Hipotecario Corporativo</v>
          </cell>
          <cell r="H113" t="str">
            <v>Banca comercial</v>
          </cell>
          <cell r="I113" t="str">
            <v>Banca comercial</v>
          </cell>
          <cell r="J113" t="str">
            <v>Crédito corporativo</v>
          </cell>
          <cell r="K113" t="str">
            <v>Crédito inmobiliario</v>
          </cell>
        </row>
        <row r="114">
          <cell r="F114" t="str">
            <v>Cartera de Créditos- Banca Comercial_Financiación Corporativo</v>
          </cell>
          <cell r="G114" t="str">
            <v>Banca comercial-Crédito corporativo-Cartera de Créditos- Banca Comercial_Financiación Corporativo</v>
          </cell>
          <cell r="H114" t="str">
            <v>Banca comercial</v>
          </cell>
          <cell r="I114" t="str">
            <v>Banca comercial</v>
          </cell>
          <cell r="J114" t="str">
            <v>Crédito corporativo</v>
          </cell>
          <cell r="K114" t="str">
            <v>Financiación estructurada</v>
          </cell>
        </row>
        <row r="115">
          <cell r="F115" t="str">
            <v>Fianzas</v>
          </cell>
          <cell r="G115" t="str">
            <v>Banca comercial-Crédito corporativo-Fianzas</v>
          </cell>
          <cell r="H115" t="str">
            <v>Banca comercial</v>
          </cell>
          <cell r="I115" t="str">
            <v>Banca comercial</v>
          </cell>
          <cell r="J115" t="str">
            <v>Crédito corporativo</v>
          </cell>
          <cell r="K115" t="str">
            <v>Avales / Cartas fianza / Carta de crédito</v>
          </cell>
        </row>
        <row r="116">
          <cell r="H116" t="str">
            <v>Banca comercial</v>
          </cell>
          <cell r="I116" t="str">
            <v>Banca comercial</v>
          </cell>
          <cell r="J116" t="str">
            <v>Crédito corporativo</v>
          </cell>
          <cell r="K116" t="str">
            <v>Otros créditos</v>
          </cell>
        </row>
        <row r="117">
          <cell r="F117" t="str">
            <v>Cuenta Corriente_BCD</v>
          </cell>
          <cell r="G117" t="str">
            <v>Banca comercial-Depósito comercial-Cuenta Corriente_BCD</v>
          </cell>
          <cell r="H117" t="str">
            <v>Banca comercial</v>
          </cell>
          <cell r="I117" t="str">
            <v>Banca comercial</v>
          </cell>
          <cell r="J117" t="str">
            <v>Depósito comercial</v>
          </cell>
          <cell r="K117" t="str">
            <v>Depósitos en cuenta corriente</v>
          </cell>
        </row>
        <row r="118">
          <cell r="F118" t="str">
            <v>Cuenta Corriente_BCD</v>
          </cell>
          <cell r="G118" t="str">
            <v>Banca comercial-Depósito comercial-Cuenta Corriente_BCD</v>
          </cell>
          <cell r="H118" t="str">
            <v>Banca comercial</v>
          </cell>
          <cell r="I118" t="str">
            <v>Banca comercial</v>
          </cell>
          <cell r="J118" t="str">
            <v>Depósito comercial</v>
          </cell>
          <cell r="K118" t="str">
            <v>Depósitos de ahorro (activos e inactivos)</v>
          </cell>
        </row>
        <row r="119">
          <cell r="F119" t="str">
            <v>Depósito a Plazo_BC</v>
          </cell>
          <cell r="G119" t="str">
            <v>Banca comercial-Depósito comercial-Depósito a Plazo_BC</v>
          </cell>
          <cell r="H119" t="str">
            <v>Banca comercial</v>
          </cell>
          <cell r="I119" t="str">
            <v>Banca comercial</v>
          </cell>
          <cell r="J119" t="str">
            <v>Depósito comercial</v>
          </cell>
          <cell r="K119" t="str">
            <v>Cuentas a plazo</v>
          </cell>
        </row>
        <row r="120">
          <cell r="F120" t="str">
            <v>Recaudos</v>
          </cell>
          <cell r="G120" t="str">
            <v>Liquidación y pagos-Administración de
efectivo, pagos y
liquidaciones-Recaudos</v>
          </cell>
          <cell r="H120" t="str">
            <v>Liquidación y pagos</v>
          </cell>
          <cell r="I120" t="str">
            <v>Clientes externos</v>
          </cell>
          <cell r="J120" t="str">
            <v>Administración de
efectivo, pagos y
liquidaciones</v>
          </cell>
          <cell r="K120" t="str">
            <v>Administración de cuentas empresariales</v>
          </cell>
        </row>
        <row r="121">
          <cell r="F121" t="str">
            <v>Recaudos</v>
          </cell>
          <cell r="G121" t="str">
            <v>Liquidación y pagos-Administración de
efectivo, pagos y
liquidaciones-Recaudos</v>
          </cell>
          <cell r="H121" t="str">
            <v>Liquidación y pagos</v>
          </cell>
          <cell r="I121" t="str">
            <v>Clientes externos</v>
          </cell>
          <cell r="J121" t="str">
            <v>Administración de
efectivo, pagos y
liquidaciones</v>
          </cell>
          <cell r="K121" t="str">
            <v>Pagos electrónicos</v>
          </cell>
        </row>
        <row r="122">
          <cell r="F122" t="str">
            <v>Recaudos</v>
          </cell>
          <cell r="G122" t="str">
            <v>Liquidación y pagos-Administración de
efectivo, pagos y
liquidaciones-Recaudos</v>
          </cell>
          <cell r="H122" t="str">
            <v>Liquidación y pagos</v>
          </cell>
          <cell r="I122" t="str">
            <v>Clientes externos</v>
          </cell>
          <cell r="J122" t="str">
            <v>Administración de
efectivo, pagos y
liquidaciones</v>
          </cell>
          <cell r="K122" t="str">
            <v>Pagos manuales</v>
          </cell>
        </row>
        <row r="123">
          <cell r="F123" t="str">
            <v>Transferencias Nacionales</v>
          </cell>
          <cell r="G123" t="str">
            <v>Liquidación y pagos-Administración de
efectivo, pagos y
liquidaciones-Transferencias Nacionales</v>
          </cell>
          <cell r="H123" t="str">
            <v>Liquidación y pagos</v>
          </cell>
          <cell r="I123" t="str">
            <v>Clientes externos</v>
          </cell>
          <cell r="J123" t="str">
            <v>Administración de
efectivo, pagos y
liquidaciones</v>
          </cell>
          <cell r="K123" t="str">
            <v>Compensación</v>
          </cell>
        </row>
        <row r="124">
          <cell r="H124" t="str">
            <v>Liquidación y pagos</v>
          </cell>
          <cell r="I124" t="str">
            <v>Clientes externos</v>
          </cell>
          <cell r="J124" t="str">
            <v>Administración de
efectivo, pagos y
liquidaciones</v>
          </cell>
          <cell r="K124" t="str">
            <v>Liquidaciones</v>
          </cell>
        </row>
        <row r="125">
          <cell r="F125" t="str">
            <v>Transferencias con el Exterior</v>
          </cell>
          <cell r="G125" t="str">
            <v>Liquidación y pagos-Administración de
efectivo, pagos y
liquidaciones-Transferencias con el Exterior</v>
          </cell>
          <cell r="H125" t="str">
            <v>Liquidación y pagos</v>
          </cell>
          <cell r="I125" t="str">
            <v>Clientes externos</v>
          </cell>
          <cell r="J125" t="str">
            <v>Administración de
efectivo, pagos y
liquidaciones</v>
          </cell>
          <cell r="K125" t="str">
            <v>Remesas</v>
          </cell>
        </row>
        <row r="126">
          <cell r="H126" t="str">
            <v>Liquidación y pagos</v>
          </cell>
          <cell r="I126" t="str">
            <v>Clientes externos</v>
          </cell>
          <cell r="J126" t="str">
            <v>Administración de efectivo, pagos y liquidaciones</v>
          </cell>
          <cell r="K126" t="str">
            <v>Servicio de compra/venta de moneda extranjera</v>
          </cell>
        </row>
        <row r="127">
          <cell r="H127" t="str">
            <v>Otros Servicios</v>
          </cell>
          <cell r="I127" t="str">
            <v>Custodia</v>
          </cell>
          <cell r="J127" t="str">
            <v>Gestión de inversiones y encargos de confianza</v>
          </cell>
          <cell r="K127" t="str">
            <v>Servicios de custodia</v>
          </cell>
        </row>
        <row r="128">
          <cell r="H128" t="str">
            <v>Otros Servicios</v>
          </cell>
          <cell r="I128" t="str">
            <v>Fideicomisos</v>
          </cell>
          <cell r="J128" t="str">
            <v>Gestión de inversiones y encargos de confianza</v>
          </cell>
          <cell r="K128" t="str">
            <v>Fideicomisos</v>
          </cell>
        </row>
        <row r="129">
          <cell r="H129" t="str">
            <v>Otros Servicios</v>
          </cell>
          <cell r="I129" t="str">
            <v>Encargos de confianza</v>
          </cell>
          <cell r="J129" t="str">
            <v>Gestión de inversiones y encargos de confianza</v>
          </cell>
          <cell r="K129" t="str">
            <v>Servicios por acciones corporativas</v>
          </cell>
        </row>
        <row r="130">
          <cell r="G130" t="str">
            <v>Otros Servicios-Gestión de inversiones y encargos de confianza-</v>
          </cell>
          <cell r="H130" t="str">
            <v>Otros Servicios</v>
          </cell>
          <cell r="I130" t="str">
            <v>Encargos de confianza</v>
          </cell>
          <cell r="J130" t="str">
            <v>Gestión de inversiones y encargos de confianza</v>
          </cell>
          <cell r="K130" t="str">
            <v>Servicios de registo y administración de títulos valores</v>
          </cell>
        </row>
        <row r="131">
          <cell r="H131" t="str">
            <v>Otros Servicios</v>
          </cell>
          <cell r="I131" t="str">
            <v>Encargos de confianza</v>
          </cell>
          <cell r="J131" t="str">
            <v>Gestión de inversiones y encargos de confianza</v>
          </cell>
          <cell r="K131" t="str">
            <v>Corretaje</v>
          </cell>
        </row>
        <row r="132">
          <cell r="H132" t="str">
            <v>Otros Servicios</v>
          </cell>
          <cell r="I132" t="str">
            <v>Encargos de confianza</v>
          </cell>
          <cell r="J132" t="str">
            <v>Gestión de inversiones y encargos de confianza</v>
          </cell>
          <cell r="K132" t="str">
            <v>Asesoría financiera</v>
          </cell>
        </row>
        <row r="133">
          <cell r="H133" t="str">
            <v>Otros Servicios</v>
          </cell>
          <cell r="I133" t="str">
            <v>Encargos de confianza</v>
          </cell>
          <cell r="J133" t="str">
            <v>Gestión de inversiones y encargos de confianza</v>
          </cell>
          <cell r="K133" t="str">
            <v>Servicios de gestión de portafolio</v>
          </cell>
        </row>
        <row r="134">
          <cell r="H134" t="str">
            <v>Otros Servicios</v>
          </cell>
          <cell r="I134" t="str">
            <v>Encargos de confianza</v>
          </cell>
          <cell r="J134" t="str">
            <v>Gestión de inversiones y encargos de confianza</v>
          </cell>
          <cell r="K134" t="str">
            <v>Servicios de ejecución de operaciones</v>
          </cell>
        </row>
        <row r="135">
          <cell r="H135" t="str">
            <v>Otros Servicios</v>
          </cell>
          <cell r="I135" t="str">
            <v>Encargos de confianza</v>
          </cell>
          <cell r="J135" t="str">
            <v>Gestión de inversiones y encargos de confianza</v>
          </cell>
          <cell r="K135" t="str">
            <v>Servicios de asesoría en gestión de portafolios</v>
          </cell>
        </row>
        <row r="136">
          <cell r="H136" t="str">
            <v>Otros Servicios</v>
          </cell>
          <cell r="I136" t="str">
            <v>Encargos de confianza</v>
          </cell>
          <cell r="J136" t="str">
            <v>Gestión de inversiones y encargos de confianza</v>
          </cell>
          <cell r="K136" t="str">
            <v>Créditos interbancarios colateralizados</v>
          </cell>
        </row>
        <row r="137">
          <cell r="H137" t="str">
            <v>Otros Servicios</v>
          </cell>
          <cell r="I137" t="str">
            <v>Encargos de confianza</v>
          </cell>
          <cell r="J137" t="str">
            <v>Productos de inversión</v>
          </cell>
          <cell r="K137" t="str">
            <v>Administración de fondos</v>
          </cell>
        </row>
        <row r="138">
          <cell r="H138" t="str">
            <v>Otros Servicios</v>
          </cell>
          <cell r="I138" t="str">
            <v>Encargos de confianza</v>
          </cell>
          <cell r="J138" t="str">
            <v>Productos de inversión</v>
          </cell>
          <cell r="K138" t="str">
            <v>Administración de activos de inversionistas institucionales tradicional</v>
          </cell>
        </row>
        <row r="139">
          <cell r="H139" t="str">
            <v>Otros Servicios</v>
          </cell>
          <cell r="I139" t="str">
            <v>Encargos de confianza</v>
          </cell>
          <cell r="J139" t="str">
            <v>Productos de inversión</v>
          </cell>
          <cell r="K139" t="str">
            <v>Administración de activos de inversionistas institucionales alternativo</v>
          </cell>
        </row>
        <row r="140">
          <cell r="H140" t="str">
            <v>Otros Servicios</v>
          </cell>
          <cell r="I140" t="str">
            <v>Encargos de confianza</v>
          </cell>
          <cell r="J140" t="str">
            <v>Corretaje /Brokerage</v>
          </cell>
          <cell r="K140" t="str">
            <v>Servicio de corretaje completo</v>
          </cell>
        </row>
        <row r="141">
          <cell r="H141" t="str">
            <v>Otros Servicios</v>
          </cell>
          <cell r="I141" t="str">
            <v>Encargos de confianza</v>
          </cell>
          <cell r="J141" t="str">
            <v>Corretaje /Brokerage</v>
          </cell>
          <cell r="K141" t="str">
            <v>Servicio de corretaje autodirigido</v>
          </cell>
        </row>
        <row r="142">
          <cell r="F142" t="str">
            <v>Venta de Seguros</v>
          </cell>
          <cell r="G142" t="str">
            <v>Otros Servicios-Otros servicios-Venta de Seguros</v>
          </cell>
          <cell r="H142" t="str">
            <v>Otros Servicios</v>
          </cell>
          <cell r="I142" t="str">
            <v>Otros servicios</v>
          </cell>
          <cell r="J142" t="str">
            <v>Otros servicios</v>
          </cell>
          <cell r="K142" t="str">
            <v>Otros servicios</v>
          </cell>
        </row>
        <row r="143">
          <cell r="F143" t="str">
            <v>Proceso de Apoyo</v>
          </cell>
          <cell r="G143" t="str">
            <v>Varias lineas de negocios--Proceso de Apoyo</v>
          </cell>
          <cell r="H143" t="str">
            <v>Varias lineas de negocios</v>
          </cell>
        </row>
        <row r="144">
          <cell r="F144" t="str">
            <v>Multiples productos</v>
          </cell>
          <cell r="G144" t="str">
            <v>Varias lineas de negocios--Multiples productos</v>
          </cell>
          <cell r="H144" t="str">
            <v>Varias lineas de negocios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valuación"/>
      <sheetName val="CategoriaTAx"/>
      <sheetName val="RIESGO INHERENTE"/>
      <sheetName val="RIESGO EXISTENTE"/>
      <sheetName val="TRATAMIENTO2"/>
      <sheetName val="Controles"/>
      <sheetName val="Tratamiento"/>
      <sheetName val="Areas"/>
      <sheetName val="Evento"/>
      <sheetName val="Origen"/>
      <sheetName val="Procesos"/>
      <sheetName val="Cargos"/>
      <sheetName val="Data IRO"/>
      <sheetName val="Medición de Riesgos"/>
      <sheetName val="Modelo 1"/>
      <sheetName val="Modelo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Planeamiento y Gestión Estratégica</v>
          </cell>
        </row>
        <row r="3">
          <cell r="B3" t="str">
            <v>Organización y Gobierno Corporativo</v>
          </cell>
        </row>
        <row r="4">
          <cell r="B4" t="str">
            <v>Gestión de Cumplimiento</v>
          </cell>
        </row>
        <row r="5">
          <cell r="B5" t="str">
            <v>Gestión por Procesos</v>
          </cell>
        </row>
        <row r="6">
          <cell r="B6" t="str">
            <v>Gestión de Riesgos</v>
          </cell>
        </row>
        <row r="7">
          <cell r="B7" t="str">
            <v>Mercadeo</v>
          </cell>
        </row>
        <row r="8">
          <cell r="B8" t="str">
            <v>Colocaciones</v>
          </cell>
        </row>
        <row r="9">
          <cell r="B9" t="str">
            <v>Captaciones</v>
          </cell>
        </row>
        <row r="10">
          <cell r="B10" t="str">
            <v>Servicios</v>
          </cell>
        </row>
        <row r="11">
          <cell r="B11" t="str">
            <v>Recuperaciones</v>
          </cell>
        </row>
        <row r="12">
          <cell r="B12" t="str">
            <v>Gestión post-venta</v>
          </cell>
        </row>
        <row r="13">
          <cell r="B13" t="str">
            <v>Gestión Financiera y Contable</v>
          </cell>
        </row>
        <row r="14">
          <cell r="B14" t="str">
            <v>Gestión de Bienes y Servicios</v>
          </cell>
        </row>
        <row r="15">
          <cell r="B15" t="str">
            <v>Gestión de RRHH</v>
          </cell>
        </row>
        <row r="16">
          <cell r="B16" t="str">
            <v>Asesoría y Gestión Legal</v>
          </cell>
        </row>
        <row r="17">
          <cell r="B17" t="str">
            <v>Gestión Tecnológica</v>
          </cell>
        </row>
        <row r="28">
          <cell r="A28" t="str">
            <v>Finanzas corporativas</v>
          </cell>
        </row>
        <row r="29">
          <cell r="A29" t="str">
            <v>Negociación y ventas</v>
          </cell>
        </row>
        <row r="30">
          <cell r="A30" t="str">
            <v>Banca minorista</v>
          </cell>
        </row>
        <row r="31">
          <cell r="A31" t="str">
            <v>Otros servicios</v>
          </cell>
        </row>
        <row r="32">
          <cell r="A32" t="str">
            <v>No Aplica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"/>
  <sheetViews>
    <sheetView showGridLines="0" zoomScale="115" zoomScaleNormal="115" workbookViewId="0">
      <pane xSplit="6" ySplit="7" topLeftCell="G9" activePane="bottomRight" state="frozen"/>
      <selection pane="topRight" activeCell="I1" sqref="I1"/>
      <selection pane="bottomLeft" activeCell="A10" sqref="A10"/>
      <selection pane="bottomRight" activeCell="G10" sqref="G10"/>
    </sheetView>
  </sheetViews>
  <sheetFormatPr baseColWidth="10" defaultColWidth="11.44140625" defaultRowHeight="10.199999999999999" x14ac:dyDescent="0.2"/>
  <cols>
    <col min="1" max="1" width="29.109375" style="2" bestFit="1" customWidth="1"/>
    <col min="2" max="2" width="13.44140625" style="2" bestFit="1" customWidth="1"/>
    <col min="3" max="3" width="11.109375" style="2" bestFit="1" customWidth="1"/>
    <col min="4" max="4" width="15.5546875" style="2" bestFit="1" customWidth="1"/>
    <col min="5" max="5" width="32.33203125" style="3" bestFit="1" customWidth="1"/>
    <col min="6" max="6" width="7.33203125" style="5" customWidth="1"/>
    <col min="7" max="7" width="12.33203125" style="2" customWidth="1"/>
    <col min="8" max="8" width="15.44140625" style="2" customWidth="1"/>
    <col min="9" max="9" width="14.6640625" style="2" customWidth="1"/>
    <col min="10" max="10" width="15.33203125" style="2" customWidth="1"/>
    <col min="11" max="11" width="17" style="2" customWidth="1"/>
    <col min="12" max="12" width="36.109375" style="2" customWidth="1"/>
    <col min="13" max="13" width="12.44140625" style="2" customWidth="1"/>
    <col min="14" max="14" width="23.77734375" style="2" customWidth="1"/>
    <col min="15" max="15" width="17" style="3" customWidth="1"/>
    <col min="16" max="16" width="16.109375" style="5" customWidth="1"/>
    <col min="17" max="17" width="12.77734375" style="4" customWidth="1"/>
    <col min="18" max="18" width="13.109375" style="3" customWidth="1"/>
    <col min="19" max="21" width="13.44140625" style="3" customWidth="1"/>
    <col min="22" max="22" width="10.44140625" style="4" customWidth="1"/>
    <col min="23" max="23" width="11.44140625" style="4" customWidth="1"/>
    <col min="24" max="25" width="5" style="122" hidden="1" customWidth="1"/>
    <col min="26" max="26" width="5.44140625" style="122" hidden="1" customWidth="1"/>
    <col min="27" max="28" width="4.109375" style="4" hidden="1" customWidth="1"/>
    <col min="29" max="29" width="5.44140625" style="4" hidden="1" customWidth="1"/>
    <col min="30" max="30" width="11" style="4" customWidth="1"/>
    <col min="31" max="31" width="12" style="4" customWidth="1"/>
    <col min="32" max="32" width="12" style="5" customWidth="1"/>
    <col min="33" max="33" width="12.77734375" style="5" customWidth="1"/>
    <col min="34" max="34" width="10.6640625" style="5" bestFit="1" customWidth="1"/>
    <col min="35" max="35" width="12.77734375" style="5" customWidth="1"/>
    <col min="36" max="36" width="13.44140625" style="5" bestFit="1" customWidth="1"/>
    <col min="37" max="37" width="13.44140625" style="5" customWidth="1"/>
    <col min="38" max="39" width="12.44140625" style="4" customWidth="1"/>
    <col min="40" max="40" width="12.44140625" style="3" customWidth="1"/>
    <col min="41" max="41" width="27.109375" style="2" customWidth="1"/>
    <col min="42" max="42" width="13" style="2" customWidth="1"/>
    <col min="43" max="43" width="16" style="2" customWidth="1"/>
    <col min="44" max="16384" width="11.44140625" style="2"/>
  </cols>
  <sheetData>
    <row r="1" spans="1:43" x14ac:dyDescent="0.2">
      <c r="A1" s="15" t="s">
        <v>261</v>
      </c>
      <c r="R1" s="2"/>
    </row>
    <row r="2" spans="1:43" x14ac:dyDescent="0.2">
      <c r="D2" s="1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43" x14ac:dyDescent="0.2">
      <c r="A3" s="17"/>
      <c r="B3" s="15"/>
      <c r="C3" s="18"/>
      <c r="D3" s="16"/>
      <c r="E3" s="6"/>
      <c r="F3" s="4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43" ht="11.25" customHeight="1" x14ac:dyDescent="0.2">
      <c r="A4" s="188" t="s">
        <v>262</v>
      </c>
      <c r="B4" s="189"/>
      <c r="C4" s="190"/>
      <c r="D4" s="184" t="s">
        <v>263</v>
      </c>
      <c r="E4" s="6"/>
      <c r="F4" s="4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N4" s="4"/>
    </row>
    <row r="5" spans="1:43" ht="10.8" thickBot="1" x14ac:dyDescent="0.25">
      <c r="A5" s="188" t="s">
        <v>33</v>
      </c>
      <c r="B5" s="189"/>
      <c r="C5" s="190"/>
      <c r="D5" s="185" t="s">
        <v>263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43" s="121" customFormat="1" ht="15.75" customHeight="1" thickBot="1" x14ac:dyDescent="0.25">
      <c r="A6" s="118"/>
      <c r="B6" s="118"/>
      <c r="C6" s="118"/>
      <c r="D6" s="118"/>
      <c r="E6" s="119"/>
      <c r="F6" s="137"/>
      <c r="G6" s="187" t="s">
        <v>34</v>
      </c>
      <c r="H6" s="187"/>
      <c r="I6" s="187"/>
      <c r="J6" s="187"/>
      <c r="K6" s="187"/>
      <c r="L6" s="187"/>
      <c r="M6" s="187"/>
      <c r="N6" s="187" t="s">
        <v>327</v>
      </c>
      <c r="O6" s="187"/>
      <c r="P6" s="187"/>
      <c r="Q6" s="187" t="s">
        <v>18</v>
      </c>
      <c r="R6" s="187"/>
      <c r="S6" s="187"/>
      <c r="T6" s="187"/>
      <c r="U6" s="187" t="s">
        <v>19</v>
      </c>
      <c r="V6" s="187"/>
      <c r="W6" s="45"/>
      <c r="X6" s="136"/>
      <c r="Y6" s="136"/>
      <c r="Z6" s="136"/>
      <c r="AA6" s="45"/>
      <c r="AB6" s="45"/>
      <c r="AC6" s="45"/>
      <c r="AD6" s="45"/>
      <c r="AE6" s="45"/>
      <c r="AF6" s="191" t="s">
        <v>325</v>
      </c>
      <c r="AG6" s="192"/>
      <c r="AH6" s="192"/>
      <c r="AI6" s="192"/>
      <c r="AJ6" s="192"/>
      <c r="AK6" s="192"/>
      <c r="AL6" s="193"/>
      <c r="AM6" s="186" t="s">
        <v>326</v>
      </c>
      <c r="AN6" s="186"/>
      <c r="AO6" s="186"/>
      <c r="AP6" s="186"/>
    </row>
    <row r="7" spans="1:43" ht="40.799999999999997" x14ac:dyDescent="0.2">
      <c r="A7" s="152" t="s">
        <v>379</v>
      </c>
      <c r="B7" s="153" t="s">
        <v>264</v>
      </c>
      <c r="C7" s="153" t="s">
        <v>1</v>
      </c>
      <c r="D7" s="154" t="s">
        <v>2</v>
      </c>
      <c r="E7" s="152" t="s">
        <v>3</v>
      </c>
      <c r="F7" s="153" t="s">
        <v>120</v>
      </c>
      <c r="G7" s="142" t="s">
        <v>348</v>
      </c>
      <c r="H7" s="142" t="s">
        <v>349</v>
      </c>
      <c r="I7" s="142" t="s">
        <v>250</v>
      </c>
      <c r="J7" s="142" t="s">
        <v>4</v>
      </c>
      <c r="K7" s="142" t="s">
        <v>29</v>
      </c>
      <c r="L7" s="142" t="s">
        <v>5</v>
      </c>
      <c r="M7" s="142" t="s">
        <v>51</v>
      </c>
      <c r="N7" s="155" t="s">
        <v>20</v>
      </c>
      <c r="O7" s="155" t="s">
        <v>360</v>
      </c>
      <c r="P7" s="155" t="s">
        <v>324</v>
      </c>
      <c r="Q7" s="156" t="s">
        <v>21</v>
      </c>
      <c r="R7" s="142" t="s">
        <v>383</v>
      </c>
      <c r="S7" s="142" t="s">
        <v>23</v>
      </c>
      <c r="T7" s="142" t="s">
        <v>147</v>
      </c>
      <c r="U7" s="142" t="s">
        <v>24</v>
      </c>
      <c r="V7" s="139" t="s">
        <v>25</v>
      </c>
      <c r="W7" s="140" t="s">
        <v>152</v>
      </c>
      <c r="X7" s="141"/>
      <c r="Y7" s="141"/>
      <c r="Z7" s="141"/>
      <c r="AA7" s="140"/>
      <c r="AB7" s="140"/>
      <c r="AC7" s="140"/>
      <c r="AD7" s="142" t="s">
        <v>153</v>
      </c>
      <c r="AE7" s="143" t="s">
        <v>154</v>
      </c>
      <c r="AF7" s="142" t="s">
        <v>385</v>
      </c>
      <c r="AG7" s="142" t="s">
        <v>386</v>
      </c>
      <c r="AH7" s="142"/>
      <c r="AI7" s="142" t="s">
        <v>4</v>
      </c>
      <c r="AJ7" s="142" t="s">
        <v>29</v>
      </c>
      <c r="AK7" s="142" t="s">
        <v>328</v>
      </c>
      <c r="AL7" s="142" t="s">
        <v>51</v>
      </c>
      <c r="AM7" s="157" t="s">
        <v>52</v>
      </c>
      <c r="AN7" s="157" t="s">
        <v>53</v>
      </c>
      <c r="AO7" s="157" t="s">
        <v>54</v>
      </c>
      <c r="AP7" s="157" t="s">
        <v>55</v>
      </c>
      <c r="AQ7" s="138" t="s">
        <v>384</v>
      </c>
    </row>
    <row r="8" spans="1:43" s="122" customFormat="1" ht="114" customHeight="1" x14ac:dyDescent="0.3">
      <c r="A8" s="158" t="s">
        <v>279</v>
      </c>
      <c r="B8" s="144" t="s">
        <v>275</v>
      </c>
      <c r="C8" s="159" t="s">
        <v>284</v>
      </c>
      <c r="D8" s="162" t="s">
        <v>329</v>
      </c>
      <c r="E8" s="162" t="s">
        <v>380</v>
      </c>
      <c r="F8" s="144" t="s">
        <v>83</v>
      </c>
      <c r="G8" s="148" t="str">
        <f>IF(H8="","",VLOOKUP(H8,Parámetros!$X$56:$Y$60,2,FALSE))</f>
        <v>Baja</v>
      </c>
      <c r="H8" s="159" t="s">
        <v>353</v>
      </c>
      <c r="I8" s="166">
        <f>IF(H8="","",VLOOKUP(H8,Parámetros!$X$56:$AA$60,4,FALSE))</f>
        <v>9.9000000000000005E-2</v>
      </c>
      <c r="J8" s="148" t="str">
        <f>IF(K8=Parámetros!W2,Parámetros!V2,IF(K8=Parámetros!W3,Parámetros!V3,IF(K8=Parámetros!W4,Parámetros!V4,IF(K8=Parámetros!W5,Parámetros!V5,IF(K8=Parámetros!W6,Parámetros!V6,"error")))))</f>
        <v>Moderado</v>
      </c>
      <c r="K8" s="160" t="s">
        <v>339</v>
      </c>
      <c r="L8" s="183" t="str">
        <f>VLOOKUP(K8,Parámetros!$W$2:$Y$6,3,FALSE)</f>
        <v>Reputacional - Mención en medios de prensa sin mayor cobertura, afectación de la imagen en grupos de interés y clientes principales (reparable en no menos de 3 meses).
Clientes - Incumplimiento regulatorio con multas mayores a 50 UITs. Demandas legales por parte de terceros (clientes, proveedores) y daños a la empresa.</v>
      </c>
      <c r="M8" s="151" t="str">
        <f>+INDEX(Parámetros!$W$13:$AA$17,VLOOKUP(G8,Parámetros!$U$13:$V$17,2,FALSE),HLOOKUP(J8,Parámetros!$W$11:$AA$12,2,FALSE))</f>
        <v>Bajo</v>
      </c>
      <c r="N8" s="162" t="s">
        <v>387</v>
      </c>
      <c r="O8" s="144" t="s">
        <v>361</v>
      </c>
      <c r="P8" s="144" t="s">
        <v>267</v>
      </c>
      <c r="Q8" s="159" t="s">
        <v>171</v>
      </c>
      <c r="R8" s="159" t="s">
        <v>141</v>
      </c>
      <c r="S8" s="159" t="s">
        <v>30</v>
      </c>
      <c r="T8" s="161" t="s">
        <v>169</v>
      </c>
      <c r="U8" s="159" t="s">
        <v>170</v>
      </c>
      <c r="V8" s="144" t="s">
        <v>170</v>
      </c>
      <c r="W8" s="144" t="s">
        <v>29</v>
      </c>
      <c r="X8" s="145">
        <f>+VLOOKUP(Q8,Parámetros!$AC$3:$AD$5,2,FALSE)</f>
        <v>1</v>
      </c>
      <c r="Y8" s="145">
        <f>VLOOKUP(R8,Parámetros!$AF$3:$AG$5,2,FALSE)</f>
        <v>1</v>
      </c>
      <c r="Z8" s="145">
        <f>VLOOKUP(S8,Parámetros!$AI$3:$AJ$4,2,FALSE)</f>
        <v>1</v>
      </c>
      <c r="AA8" s="146">
        <f>VLOOKUP(T8,Parámetros!$AO$3:$AP$5,2,FALSE)</f>
        <v>0.7</v>
      </c>
      <c r="AB8" s="146">
        <f>VLOOKUP(U8,Parámetros!$AR$2:$AS$4,2,FALSE)</f>
        <v>1</v>
      </c>
      <c r="AC8" s="146">
        <f>VLOOKUP(V8,Parámetros!$AR$2:$AS$4,2,FALSE)</f>
        <v>1</v>
      </c>
      <c r="AD8" s="147">
        <f>+(X8*0.2+Y8*0.2+Z8*0.2)*(AB8*0.5+AC8*0.5)</f>
        <v>0.60000000000000009</v>
      </c>
      <c r="AE8" s="148" t="str">
        <f>+IF(AD8&lt;0.9,IF(AD8&lt;0.6,IF(AD8&gt;0.3,"Moderado","Insastisfactorio"),"Bueno"),"Excelente")</f>
        <v>Bueno</v>
      </c>
      <c r="AF8" s="149" t="str">
        <f>IF(AG8="","",IF(AG8&lt;=Parámetros!$R$11,IF(AG8&lt;=Parámetros!$R$12,IF(AG8&lt;=Parámetros!$R$13,IF(AG8&lt;=Parámetros!$R$14,"Muy Baja","Baja"),"Media"),"Alta"),"Muy Alta"))</f>
        <v>Muy Baja</v>
      </c>
      <c r="AG8" s="149">
        <f>IF(AD8="",I8,(I8*(1-AD8)))</f>
        <v>3.9599999999999996E-2</v>
      </c>
      <c r="AH8" s="149">
        <f>VLOOKUP(K8,Parámetros!$W$2:$X$6,2,FALSE)</f>
        <v>850000</v>
      </c>
      <c r="AI8" s="149" t="str">
        <f>IF(AJ8="","",IF(AJ8&gt;Parámetros!$T$7,IF(AJ8&gt;Parámetros!$T$6,IF(AJ8&gt;Parámetros!$T$5,IF(AJ8&gt;Parámetros!$T$4,"Catastrófico","Mayor"),"Moderado"),"Menor"),"Insignificante"))</f>
        <v>Moderado</v>
      </c>
      <c r="AJ8" s="150">
        <f>+IF(AD8="",AH8,ROUND(AH8*(1-AD8),1))</f>
        <v>340000</v>
      </c>
      <c r="AK8" s="150">
        <f>+IF(AG8="","",AG8*AJ8)</f>
        <v>13463.999999999998</v>
      </c>
      <c r="AL8" s="151" t="str">
        <f>+INDEX(Parámetros!$W$13:$AA$17,VLOOKUP(AF8,Parámetros!$U$13:$V$17,2,FALSE),HLOOKUP(AI8,Parámetros!$W$11:$AA$12,2,FALSE))</f>
        <v>Bajo</v>
      </c>
      <c r="AM8" s="163"/>
      <c r="AN8" s="163"/>
      <c r="AO8" s="164"/>
      <c r="AP8" s="164"/>
      <c r="AQ8" s="182" t="str">
        <f>+AF8&amp;"-"&amp;AI8</f>
        <v>Muy Baja-Moderado</v>
      </c>
    </row>
    <row r="9" spans="1:43" s="122" customFormat="1" ht="120.75" customHeight="1" x14ac:dyDescent="0.3">
      <c r="A9" s="158" t="s">
        <v>280</v>
      </c>
      <c r="B9" s="144" t="s">
        <v>276</v>
      </c>
      <c r="C9" s="159" t="s">
        <v>85</v>
      </c>
      <c r="D9" s="162" t="s">
        <v>381</v>
      </c>
      <c r="E9" s="162" t="s">
        <v>382</v>
      </c>
      <c r="F9" s="144" t="s">
        <v>122</v>
      </c>
      <c r="G9" s="218" t="str">
        <f>IF(H9="","",VLOOKUP(H9,Parámetros!$X$56:$Y$60,2,FALSE))</f>
        <v>Baja</v>
      </c>
      <c r="H9" s="218" t="s">
        <v>353</v>
      </c>
      <c r="I9" s="166">
        <f>IF(H9="","",VLOOKUP(H9,Parámetros!$X$56:$AA$60,4,FALSE))</f>
        <v>9.9000000000000005E-2</v>
      </c>
      <c r="J9" s="218" t="str">
        <f>IF(K9=Parámetros!W3,Parámetros!V3,IF(K9=Parámetros!W4,Parámetros!V4,IF(K9=Parámetros!W5,Parámetros!V5,IF(K9=Parámetros!W6,Parámetros!V6,IF(K9=Parámetros!W7,Parámetros!V7,"error")))))</f>
        <v>Catastrófico</v>
      </c>
      <c r="K9" s="160" t="s">
        <v>345</v>
      </c>
      <c r="L9" s="183" t="str">
        <f>VLOOKUP(K9,Parámetros!$W$2:$Y$6,3,FALSE)</f>
        <v>Reputacional - Cobertura adversa de amplia difusión en medios a nivel nacional, internacional y redes sociales. Afecta gravemente la imagen de la empresa y genera pérdida de clientes principales y socios estratégicos.
Clientes - Incumplimiento regulatorio con multas mayores a 420 UITs. Acciones legales que conllevan a la prisión efectiva de directores, gerentes o funcionarios.</v>
      </c>
      <c r="M9" s="219" t="str">
        <f>+INDEX(Parámetros!$W$13:$AA$17,VLOOKUP(G9,Parámetros!$U$13:$V$17,2,FALSE),HLOOKUP(J9,Parámetros!$W$11:$AA$12,2,FALSE))</f>
        <v>Medio</v>
      </c>
      <c r="N9" s="161" t="s">
        <v>372</v>
      </c>
      <c r="O9" s="144" t="s">
        <v>365</v>
      </c>
      <c r="P9" s="144" t="s">
        <v>278</v>
      </c>
      <c r="Q9" s="159" t="s">
        <v>139</v>
      </c>
      <c r="R9" s="159" t="s">
        <v>141</v>
      </c>
      <c r="S9" s="159" t="s">
        <v>27</v>
      </c>
      <c r="T9" s="161" t="s">
        <v>169</v>
      </c>
      <c r="U9" s="159" t="s">
        <v>170</v>
      </c>
      <c r="V9" s="144" t="s">
        <v>170</v>
      </c>
      <c r="W9" s="144" t="s">
        <v>176</v>
      </c>
      <c r="X9" s="145">
        <f>+VLOOKUP(Q9,Parámetros!$AC$3:$AD$5,2,FALSE)</f>
        <v>0.7</v>
      </c>
      <c r="Y9" s="145">
        <f>VLOOKUP(R9,Parámetros!$AF$3:$AG$5,2,FALSE)</f>
        <v>1</v>
      </c>
      <c r="Z9" s="145">
        <f>VLOOKUP(S9,Parámetros!$AI$3:$AJ$4,2,FALSE)</f>
        <v>0.5</v>
      </c>
      <c r="AA9" s="146">
        <f>VLOOKUP(T9,Parámetros!$AO$3:$AP$5,2,FALSE)</f>
        <v>0.7</v>
      </c>
      <c r="AB9" s="146">
        <f>VLOOKUP(U9,Parámetros!$AR$2:$AS$4,2,FALSE)</f>
        <v>1</v>
      </c>
      <c r="AC9" s="146">
        <f>VLOOKUP(V9,Parámetros!$AR$2:$AS$4,2,FALSE)</f>
        <v>1</v>
      </c>
      <c r="AD9" s="147">
        <f>+(X9*0.2+Y9*0.2+Z9*0.2)*(AB9*0.5+AC9*0.5)</f>
        <v>0.43999999999999995</v>
      </c>
      <c r="AE9" s="218" t="str">
        <f t="shared" ref="AE9" si="0">+IF(AD9&lt;0.9,IF(AD9&lt;0.6,IF(AD9&gt;0.3,"Moderado","Insastisfactorio"),"Bueno"),"Excelente")</f>
        <v>Moderado</v>
      </c>
      <c r="AF9" s="220" t="str">
        <f>IF(AG9="","",IF(AG9&lt;=Parámetros!$R$11,IF(AG9&lt;=Parámetros!$R$12,IF(AG9&lt;=Parámetros!$R$13,IF(AG9&lt;=Parámetros!$R$14,"Muy Baja","Baja"),"Media"),"Alta"),"Muy Alta"))</f>
        <v>Baja</v>
      </c>
      <c r="AG9" s="149">
        <f>IF(AD9="",I9,(I9*(1-AD9)))</f>
        <v>5.544000000000001E-2</v>
      </c>
      <c r="AH9" s="149">
        <f>VLOOKUP(K9,Parámetros!$W$2:$X$6,2,FALSE)</f>
        <v>1700000.01</v>
      </c>
      <c r="AI9" s="220" t="str">
        <f>IF(AJ9="","",IF(AJ9&gt;Parámetros!$T$7,IF(AJ9&gt;Parámetros!$T$6,IF(AJ9&gt;Parámetros!$T$5,IF(AJ9&gt;Parámetros!$T$4,"Catastrófico","Mayor"),"Moderado"),"Menor"),"Insignificante"))</f>
        <v>Mayor</v>
      </c>
      <c r="AJ9" s="150">
        <f>+IF(AD9="",AH9,ROUND(AH9*(1-AD9),1))</f>
        <v>952000</v>
      </c>
      <c r="AK9" s="150">
        <f>+IF(AG9="","",AG9*AJ9)</f>
        <v>52778.880000000012</v>
      </c>
      <c r="AL9" s="151" t="str">
        <f>+INDEX(Parámetros!$W$13:$AA$17,VLOOKUP(AF9,Parámetros!$U$13:$V$17,2,FALSE),HLOOKUP(AI9,Parámetros!$W$11:$AA$12,2,FALSE))</f>
        <v>Medio</v>
      </c>
      <c r="AM9" s="163"/>
      <c r="AN9" s="163"/>
      <c r="AO9" s="164"/>
      <c r="AP9" s="164"/>
      <c r="AQ9" s="182" t="str">
        <f>+AF9&amp;"-"&amp;AI9</f>
        <v>Baja-Mayor</v>
      </c>
    </row>
    <row r="11" spans="1:43" x14ac:dyDescent="0.2">
      <c r="F11" s="138"/>
    </row>
    <row r="12" spans="1:43" x14ac:dyDescent="0.2">
      <c r="F12" s="138"/>
    </row>
    <row r="13" spans="1:43" x14ac:dyDescent="0.2">
      <c r="F13" s="138"/>
    </row>
  </sheetData>
  <autoFilter ref="A7:AQ9" xr:uid="{00000000-0009-0000-0000-000000000000}"/>
  <sortState xmlns:xlrd2="http://schemas.microsoft.com/office/spreadsheetml/2017/richdata2" ref="A8:BK11">
    <sortCondition ref="A8:A11"/>
  </sortState>
  <mergeCells count="8">
    <mergeCell ref="AM6:AP6"/>
    <mergeCell ref="Q6:T6"/>
    <mergeCell ref="U6:V6"/>
    <mergeCell ref="N6:P6"/>
    <mergeCell ref="A4:C4"/>
    <mergeCell ref="A5:C5"/>
    <mergeCell ref="AF6:AL6"/>
    <mergeCell ref="G6:M6"/>
  </mergeCells>
  <conditionalFormatting sqref="D8:D9">
    <cfRule type="duplicateValues" dxfId="0" priority="450"/>
  </conditionalFormatting>
  <dataValidations count="3">
    <dataValidation type="decimal" operator="lessThanOrEqual" allowBlank="1" showInputMessage="1" showErrorMessage="1" errorTitle="Números enteros mayores a 0" error="Números enteros mayores a 0" sqref="I8:I9" xr:uid="{00000000-0002-0000-0000-000000000000}">
      <formula1>1</formula1>
    </dataValidation>
    <dataValidation type="list" showInputMessage="1" showErrorMessage="1" sqref="C8:C9" xr:uid="{00000000-0002-0000-0000-000001000000}">
      <formula1>Proceso</formula1>
    </dataValidation>
    <dataValidation allowBlank="1" showInputMessage="1" showErrorMessage="1" errorTitle="Contiene formula" sqref="G8:G9" xr:uid="{00000000-0002-0000-0000-000002000000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" operator="equal" id="{BC707570-C454-4367-A410-1E7BA671EBDC}">
            <xm:f>Parámetros!$Z$13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22" operator="equal" id="{AD2D0098-82E0-41EA-A0E6-42F147D0E311}">
            <xm:f>Parámetros!$Z$14</xm:f>
            <x14:dxf>
              <font>
                <color auto="1"/>
              </font>
              <fill>
                <patternFill>
                  <bgColor rgb="FFFFC000"/>
                </patternFill>
              </fill>
            </x14:dxf>
          </x14:cfRule>
          <x14:cfRule type="cellIs" priority="23" operator="equal" id="{9A7DAF5D-AE96-4B4A-A7E4-6C8B5C876DB4}">
            <xm:f>Parámetros!$Y$15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ellIs" priority="24" operator="equal" id="{64DAE0ED-0309-4454-A3D2-1119E4428374}">
            <xm:f>Parámetros!$X$15</xm:f>
            <x14:dxf>
              <font>
                <color auto="1"/>
              </font>
              <fill>
                <patternFill>
                  <bgColor rgb="FF00F26D"/>
                </patternFill>
              </fill>
            </x14:dxf>
          </x14:cfRule>
          <x14:cfRule type="cellIs" priority="25" operator="equal" id="{A0B2CA89-70D1-4AFC-ABC1-C302768C1B9D}">
            <xm:f>Parámetros!$W$17</xm:f>
            <x14:dxf>
              <font>
                <color auto="1"/>
              </font>
              <fill>
                <patternFill>
                  <bgColor rgb="FF00B0F0"/>
                </patternFill>
              </fill>
            </x14:dxf>
          </x14:cfRule>
          <xm:sqref>M8:M9 AL8:AL9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3000000}">
          <x14:formula1>
            <xm:f>Parámetros!$C$3:$C$19</xm:f>
          </x14:formula1>
          <xm:sqref>B8:B9 P8:P9</xm:sqref>
        </x14:dataValidation>
        <x14:dataValidation type="list" allowBlank="1" showInputMessage="1" showErrorMessage="1" xr:uid="{00000000-0002-0000-0000-000004000000}">
          <x14:formula1>
            <xm:f>Parámetros!$C$22:$C$25</xm:f>
          </x14:formula1>
          <xm:sqref>F8:F9</xm:sqref>
        </x14:dataValidation>
        <x14:dataValidation type="list" allowBlank="1" showInputMessage="1" showErrorMessage="1" xr:uid="{00000000-0002-0000-0000-000005000000}">
          <x14:formula1>
            <xm:f>Parámetros!$AC$3:$AC$5</xm:f>
          </x14:formula1>
          <xm:sqref>Q8:Q9</xm:sqref>
        </x14:dataValidation>
        <x14:dataValidation type="list" allowBlank="1" showInputMessage="1" showErrorMessage="1" xr:uid="{00000000-0002-0000-0000-000006000000}">
          <x14:formula1>
            <xm:f>Parámetros!$AF$3:$AF$5</xm:f>
          </x14:formula1>
          <xm:sqref>R8:R9</xm:sqref>
        </x14:dataValidation>
        <x14:dataValidation type="list" allowBlank="1" showInputMessage="1" showErrorMessage="1" xr:uid="{00000000-0002-0000-0000-000007000000}">
          <x14:formula1>
            <xm:f>Parámetros!$AI$3:$AI$4</xm:f>
          </x14:formula1>
          <xm:sqref>S8:S9</xm:sqref>
        </x14:dataValidation>
        <x14:dataValidation type="list" allowBlank="1" showInputMessage="1" showErrorMessage="1" xr:uid="{00000000-0002-0000-0000-000008000000}">
          <x14:formula1>
            <xm:f>Parámetros!$AO$3:$AO$5</xm:f>
          </x14:formula1>
          <xm:sqref>T8:T9</xm:sqref>
        </x14:dataValidation>
        <x14:dataValidation type="list" allowBlank="1" showInputMessage="1" showErrorMessage="1" xr:uid="{00000000-0002-0000-0000-000009000000}">
          <x14:formula1>
            <xm:f>Parámetros!$AR$3:$AR$4</xm:f>
          </x14:formula1>
          <xm:sqref>U8:V9</xm:sqref>
        </x14:dataValidation>
        <x14:dataValidation type="list" allowBlank="1" showInputMessage="1" showErrorMessage="1" xr:uid="{00000000-0002-0000-0000-00000A000000}">
          <x14:formula1>
            <xm:f>Parámetros!$C$33:$C$35</xm:f>
          </x14:formula1>
          <xm:sqref>W8:W9</xm:sqref>
        </x14:dataValidation>
        <x14:dataValidation type="list" allowBlank="1" showInputMessage="1" showErrorMessage="1" errorTitle="Contiene formula" xr:uid="{00000000-0002-0000-0000-00000B000000}">
          <x14:formula1>
            <xm:f>Parámetros!$X$56:$X$60</xm:f>
          </x14:formula1>
          <xm:sqref>H8:H9</xm:sqref>
        </x14:dataValidation>
        <x14:dataValidation type="list" allowBlank="1" showInputMessage="1" showErrorMessage="1" xr:uid="{00000000-0002-0000-0000-00000C000000}">
          <x14:formula1>
            <xm:f>Parámetros!$W$2:$W$6</xm:f>
          </x14:formula1>
          <xm:sqref>K8:K9</xm:sqref>
        </x14:dataValidation>
        <x14:dataValidation type="list" allowBlank="1" showInputMessage="1" showErrorMessage="1" xr:uid="{00000000-0002-0000-0000-00000D000000}">
          <x14:formula1>
            <xm:f>Parámetros!$P$18:$P$29</xm:f>
          </x14:formula1>
          <xm:sqref>O8:O9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AS202"/>
  <sheetViews>
    <sheetView topLeftCell="O1" zoomScale="85" zoomScaleNormal="85" workbookViewId="0">
      <selection activeCell="Y2" sqref="Y2"/>
    </sheetView>
  </sheetViews>
  <sheetFormatPr baseColWidth="10" defaultColWidth="11.44140625" defaultRowHeight="13.8" x14ac:dyDescent="0.3"/>
  <cols>
    <col min="1" max="1" width="5.109375" style="30" customWidth="1"/>
    <col min="2" max="2" width="6" style="36" customWidth="1"/>
    <col min="3" max="3" width="42.33203125" style="37" customWidth="1"/>
    <col min="4" max="4" width="2.6640625" style="37" customWidth="1"/>
    <col min="5" max="5" width="49" style="30" customWidth="1"/>
    <col min="6" max="6" width="2.6640625" style="30" customWidth="1"/>
    <col min="7" max="7" width="21.6640625" style="30" customWidth="1"/>
    <col min="8" max="8" width="13" style="30" customWidth="1"/>
    <col min="9" max="9" width="19.77734375" style="32" customWidth="1"/>
    <col min="10" max="10" width="19.33203125" style="32" customWidth="1"/>
    <col min="11" max="11" width="27.6640625" style="32" customWidth="1"/>
    <col min="12" max="12" width="33.44140625" style="32" customWidth="1"/>
    <col min="13" max="13" width="32.6640625" style="32" customWidth="1"/>
    <col min="14" max="14" width="63.77734375" style="30" customWidth="1"/>
    <col min="15" max="15" width="17.44140625" style="30" customWidth="1"/>
    <col min="16" max="16" width="21.44140625" style="30" customWidth="1"/>
    <col min="17" max="17" width="14" style="32" customWidth="1"/>
    <col min="18" max="18" width="17" style="32" customWidth="1"/>
    <col min="19" max="19" width="14.77734375" style="178" customWidth="1"/>
    <col min="20" max="20" width="13.44140625" style="178" bestFit="1" customWidth="1"/>
    <col min="21" max="21" width="12.44140625" style="30" bestFit="1" customWidth="1"/>
    <col min="22" max="23" width="18.44140625" style="30" customWidth="1"/>
    <col min="24" max="24" width="30.44140625" style="30" bestFit="1" customWidth="1"/>
    <col min="25" max="25" width="40.44140625" style="30" customWidth="1"/>
    <col min="26" max="26" width="32.6640625" style="30" customWidth="1"/>
    <col min="27" max="29" width="12.44140625" style="30" customWidth="1"/>
    <col min="30" max="30" width="12.109375" style="30" bestFit="1" customWidth="1"/>
    <col min="31" max="31" width="11.44140625" style="30"/>
    <col min="32" max="32" width="15.6640625" style="30" customWidth="1"/>
    <col min="33" max="33" width="12" style="30" customWidth="1"/>
    <col min="34" max="34" width="20.77734375" style="30" customWidth="1"/>
    <col min="35" max="35" width="11.44140625" style="30"/>
    <col min="36" max="36" width="9.44140625" style="30" customWidth="1"/>
    <col min="37" max="37" width="13.33203125" style="30" customWidth="1"/>
    <col min="38" max="38" width="11.44140625" style="30"/>
    <col min="39" max="39" width="18.44140625" style="30" customWidth="1"/>
    <col min="40" max="40" width="4.109375" style="30" customWidth="1"/>
    <col min="41" max="41" width="11.44140625" style="30"/>
    <col min="42" max="42" width="9.77734375" style="30" customWidth="1"/>
    <col min="43" max="43" width="7.33203125" style="30" customWidth="1"/>
    <col min="44" max="44" width="11.44140625" style="30"/>
    <col min="45" max="45" width="12.33203125" style="30" customWidth="1"/>
    <col min="46" max="16384" width="11.44140625" style="30"/>
  </cols>
  <sheetData>
    <row r="1" spans="2:45" s="20" customFormat="1" ht="25.5" customHeight="1" x14ac:dyDescent="0.3">
      <c r="B1" s="196" t="s">
        <v>281</v>
      </c>
      <c r="C1" s="196"/>
      <c r="D1" s="196"/>
      <c r="E1" s="196"/>
      <c r="F1" s="196"/>
      <c r="G1" s="196"/>
      <c r="I1" s="109"/>
      <c r="J1" s="109"/>
      <c r="K1" s="109"/>
      <c r="L1" s="109"/>
      <c r="M1" s="38"/>
      <c r="N1" s="196" t="s">
        <v>117</v>
      </c>
      <c r="O1" s="196"/>
      <c r="P1" s="196"/>
      <c r="Q1" s="109"/>
      <c r="R1" s="197" t="s">
        <v>124</v>
      </c>
      <c r="S1" s="197"/>
      <c r="T1" s="197"/>
      <c r="V1" s="172" t="s">
        <v>29</v>
      </c>
      <c r="W1" s="172" t="s">
        <v>330</v>
      </c>
      <c r="X1" s="176" t="s">
        <v>126</v>
      </c>
      <c r="Y1" s="142" t="s">
        <v>5</v>
      </c>
      <c r="Z1" s="172" t="s">
        <v>331</v>
      </c>
      <c r="AA1" s="172" t="s">
        <v>332</v>
      </c>
    </row>
    <row r="2" spans="2:45" s="19" customFormat="1" ht="61.2" x14ac:dyDescent="0.3">
      <c r="B2" s="130" t="s">
        <v>57</v>
      </c>
      <c r="C2" s="131" t="s">
        <v>264</v>
      </c>
      <c r="D2" s="23"/>
      <c r="E2" s="130" t="s">
        <v>1</v>
      </c>
      <c r="F2" s="24"/>
      <c r="H2" s="21" t="s">
        <v>58</v>
      </c>
      <c r="I2" s="21" t="s">
        <v>282</v>
      </c>
      <c r="J2" s="21" t="s">
        <v>1</v>
      </c>
      <c r="K2" s="22"/>
      <c r="L2" s="130" t="s">
        <v>118</v>
      </c>
      <c r="N2" s="132" t="s">
        <v>119</v>
      </c>
      <c r="P2" s="165"/>
      <c r="Q2" s="165"/>
      <c r="R2" s="132" t="s">
        <v>29</v>
      </c>
      <c r="S2" s="176" t="s">
        <v>125</v>
      </c>
      <c r="T2" s="176" t="s">
        <v>126</v>
      </c>
      <c r="V2" s="170" t="s">
        <v>9</v>
      </c>
      <c r="W2" s="171" t="s">
        <v>333</v>
      </c>
      <c r="X2" s="177">
        <v>30000</v>
      </c>
      <c r="Y2" s="161" t="s">
        <v>356</v>
      </c>
      <c r="Z2" s="171" t="s">
        <v>334</v>
      </c>
      <c r="AA2" s="171" t="s">
        <v>335</v>
      </c>
      <c r="AC2" s="133" t="s">
        <v>21</v>
      </c>
      <c r="AD2" s="134" t="s">
        <v>143</v>
      </c>
      <c r="AF2" s="131" t="s">
        <v>22</v>
      </c>
      <c r="AG2" s="134" t="s">
        <v>143</v>
      </c>
      <c r="AI2" s="131" t="s">
        <v>144</v>
      </c>
      <c r="AJ2" s="134" t="s">
        <v>143</v>
      </c>
      <c r="AL2" s="131" t="s">
        <v>145</v>
      </c>
      <c r="AM2" s="134" t="s">
        <v>143</v>
      </c>
      <c r="AO2" s="131" t="s">
        <v>147</v>
      </c>
      <c r="AP2" s="134" t="s">
        <v>143</v>
      </c>
      <c r="AR2" s="131" t="s">
        <v>150</v>
      </c>
      <c r="AS2" s="134" t="s">
        <v>143</v>
      </c>
    </row>
    <row r="3" spans="2:45" s="19" customFormat="1" ht="112.2" x14ac:dyDescent="0.3">
      <c r="B3" s="130">
        <v>1</v>
      </c>
      <c r="C3" s="131" t="s">
        <v>271</v>
      </c>
      <c r="D3" s="23"/>
      <c r="E3" s="130" t="s">
        <v>59</v>
      </c>
      <c r="F3" s="24"/>
      <c r="H3" s="21" t="s">
        <v>60</v>
      </c>
      <c r="I3" s="21">
        <v>1</v>
      </c>
      <c r="J3" s="21">
        <v>1</v>
      </c>
      <c r="K3" s="22" t="str">
        <f>CONCATENATE(I3,J3)</f>
        <v>11</v>
      </c>
      <c r="L3" s="130" t="s">
        <v>6</v>
      </c>
      <c r="N3" s="132" t="s">
        <v>6</v>
      </c>
      <c r="P3" s="165"/>
      <c r="Q3" s="165"/>
      <c r="R3" s="179" t="s">
        <v>127</v>
      </c>
      <c r="S3" s="181">
        <f>+T4+0.01</f>
        <v>1700000.01</v>
      </c>
      <c r="T3" s="180">
        <f>+S3+1000000</f>
        <v>2700000.01</v>
      </c>
      <c r="V3" s="170" t="s">
        <v>10</v>
      </c>
      <c r="W3" s="171" t="s">
        <v>336</v>
      </c>
      <c r="X3" s="180">
        <v>200000</v>
      </c>
      <c r="Y3" s="161" t="s">
        <v>357</v>
      </c>
      <c r="Z3" s="171" t="s">
        <v>337</v>
      </c>
      <c r="AA3" s="171" t="s">
        <v>338</v>
      </c>
      <c r="AC3" s="133" t="s">
        <v>171</v>
      </c>
      <c r="AD3" s="134">
        <v>1</v>
      </c>
      <c r="AF3" s="131" t="s">
        <v>141</v>
      </c>
      <c r="AG3" s="134">
        <v>1</v>
      </c>
      <c r="AI3" s="131" t="s">
        <v>30</v>
      </c>
      <c r="AJ3" s="134">
        <v>1</v>
      </c>
      <c r="AL3" s="131" t="s">
        <v>31</v>
      </c>
      <c r="AM3" s="134">
        <v>1</v>
      </c>
      <c r="AO3" s="131" t="s">
        <v>174</v>
      </c>
      <c r="AP3" s="134">
        <v>1</v>
      </c>
      <c r="AR3" s="131" t="s">
        <v>148</v>
      </c>
      <c r="AS3" s="134">
        <v>1</v>
      </c>
    </row>
    <row r="4" spans="2:45" s="19" customFormat="1" ht="112.2" x14ac:dyDescent="0.3">
      <c r="B4" s="130">
        <v>2</v>
      </c>
      <c r="C4" s="131" t="s">
        <v>273</v>
      </c>
      <c r="D4" s="23"/>
      <c r="E4" s="130" t="s">
        <v>61</v>
      </c>
      <c r="F4" s="24"/>
      <c r="H4" s="21" t="s">
        <v>60</v>
      </c>
      <c r="I4" s="21">
        <v>1</v>
      </c>
      <c r="J4" s="21">
        <v>2</v>
      </c>
      <c r="K4" s="22" t="str">
        <f t="shared" ref="K4:K67" si="0">CONCATENATE(I4,J4)</f>
        <v>12</v>
      </c>
      <c r="L4" s="130" t="s">
        <v>15</v>
      </c>
      <c r="N4" s="132" t="s">
        <v>98</v>
      </c>
      <c r="P4" s="165"/>
      <c r="Q4" s="165"/>
      <c r="R4" s="179" t="s">
        <v>128</v>
      </c>
      <c r="S4" s="180">
        <f>+T5+0.01</f>
        <v>850000.01</v>
      </c>
      <c r="T4" s="181">
        <v>1700000</v>
      </c>
      <c r="V4" s="170" t="s">
        <v>129</v>
      </c>
      <c r="W4" s="171" t="s">
        <v>339</v>
      </c>
      <c r="X4" s="180">
        <v>850000</v>
      </c>
      <c r="Y4" s="161" t="s">
        <v>358</v>
      </c>
      <c r="Z4" s="171" t="s">
        <v>340</v>
      </c>
      <c r="AA4" s="171" t="s">
        <v>341</v>
      </c>
      <c r="AC4" s="133" t="s">
        <v>139</v>
      </c>
      <c r="AD4" s="134">
        <v>0.7</v>
      </c>
      <c r="AF4" s="131" t="s">
        <v>142</v>
      </c>
      <c r="AG4" s="134">
        <v>0.7</v>
      </c>
      <c r="AI4" s="131" t="s">
        <v>27</v>
      </c>
      <c r="AJ4" s="134">
        <v>0.5</v>
      </c>
      <c r="AL4" s="131" t="s">
        <v>28</v>
      </c>
      <c r="AM4" s="134">
        <v>0.7</v>
      </c>
      <c r="AO4" s="131" t="s">
        <v>169</v>
      </c>
      <c r="AP4" s="134">
        <v>0.7</v>
      </c>
      <c r="AR4" s="131" t="s">
        <v>149</v>
      </c>
      <c r="AS4" s="134">
        <v>0</v>
      </c>
    </row>
    <row r="5" spans="2:45" s="19" customFormat="1" ht="112.2" x14ac:dyDescent="0.3">
      <c r="B5" s="130">
        <v>3</v>
      </c>
      <c r="C5" s="131" t="s">
        <v>274</v>
      </c>
      <c r="D5" s="23"/>
      <c r="E5" s="130" t="s">
        <v>62</v>
      </c>
      <c r="F5" s="24"/>
      <c r="H5" s="21" t="s">
        <v>60</v>
      </c>
      <c r="I5" s="21">
        <v>1</v>
      </c>
      <c r="J5" s="21">
        <v>2</v>
      </c>
      <c r="K5" s="22" t="str">
        <f t="shared" si="0"/>
        <v>12</v>
      </c>
      <c r="L5" s="130" t="s">
        <v>100</v>
      </c>
      <c r="N5" s="132" t="s">
        <v>7</v>
      </c>
      <c r="P5" s="165"/>
      <c r="Q5" s="165"/>
      <c r="R5" s="179" t="s">
        <v>129</v>
      </c>
      <c r="S5" s="180">
        <f>+T6+0.01</f>
        <v>200000.01</v>
      </c>
      <c r="T5" s="180">
        <v>850000</v>
      </c>
      <c r="V5" s="170" t="s">
        <v>128</v>
      </c>
      <c r="W5" s="171" t="s">
        <v>342</v>
      </c>
      <c r="X5" s="181">
        <v>1700000</v>
      </c>
      <c r="Y5" s="161" t="s">
        <v>359</v>
      </c>
      <c r="Z5" s="171" t="s">
        <v>343</v>
      </c>
      <c r="AA5" s="171" t="s">
        <v>344</v>
      </c>
      <c r="AC5" s="133" t="s">
        <v>140</v>
      </c>
      <c r="AD5" s="134">
        <v>0.3</v>
      </c>
      <c r="AF5" s="131" t="s">
        <v>26</v>
      </c>
      <c r="AG5" s="134">
        <v>0.3</v>
      </c>
      <c r="AI5" s="131"/>
      <c r="AJ5" s="134"/>
      <c r="AL5" s="131" t="s">
        <v>146</v>
      </c>
      <c r="AM5" s="134">
        <v>0.3</v>
      </c>
      <c r="AO5" s="131" t="s">
        <v>32</v>
      </c>
      <c r="AP5" s="134">
        <v>0.3</v>
      </c>
      <c r="AR5" s="131"/>
      <c r="AS5" s="134"/>
    </row>
    <row r="6" spans="2:45" s="19" customFormat="1" ht="102" x14ac:dyDescent="0.3">
      <c r="B6" s="130">
        <v>4</v>
      </c>
      <c r="C6" s="131" t="s">
        <v>275</v>
      </c>
      <c r="D6" s="23"/>
      <c r="E6" s="130" t="s">
        <v>283</v>
      </c>
      <c r="F6" s="24"/>
      <c r="H6" s="21" t="s">
        <v>60</v>
      </c>
      <c r="I6" s="21">
        <v>1</v>
      </c>
      <c r="J6" s="21">
        <v>2</v>
      </c>
      <c r="K6" s="22" t="str">
        <f t="shared" si="0"/>
        <v>12</v>
      </c>
      <c r="L6" s="130" t="s">
        <v>16</v>
      </c>
      <c r="N6" s="132" t="s">
        <v>15</v>
      </c>
      <c r="P6" s="165"/>
      <c r="Q6" s="165"/>
      <c r="R6" s="179" t="s">
        <v>10</v>
      </c>
      <c r="S6" s="180">
        <f>+T7+0.01</f>
        <v>30000.01</v>
      </c>
      <c r="T6" s="180">
        <v>200000</v>
      </c>
      <c r="V6" s="170" t="s">
        <v>127</v>
      </c>
      <c r="W6" s="171" t="s">
        <v>345</v>
      </c>
      <c r="X6" s="181">
        <v>1700000.01</v>
      </c>
      <c r="Y6" s="161" t="s">
        <v>355</v>
      </c>
      <c r="Z6" s="171" t="s">
        <v>346</v>
      </c>
      <c r="AA6" s="171" t="s">
        <v>347</v>
      </c>
      <c r="AC6" s="133"/>
      <c r="AD6" s="134"/>
      <c r="AF6" s="131"/>
      <c r="AG6" s="134"/>
      <c r="AI6" s="131"/>
      <c r="AJ6" s="134"/>
      <c r="AL6" s="131"/>
      <c r="AM6" s="134"/>
      <c r="AO6" s="131"/>
      <c r="AP6" s="134"/>
      <c r="AR6" s="131"/>
      <c r="AS6" s="134"/>
    </row>
    <row r="7" spans="2:45" ht="20.25" customHeight="1" x14ac:dyDescent="0.3">
      <c r="B7" s="25">
        <v>5</v>
      </c>
      <c r="C7" s="26" t="s">
        <v>276</v>
      </c>
      <c r="D7" s="27"/>
      <c r="E7" s="28" t="s">
        <v>64</v>
      </c>
      <c r="F7" s="29"/>
      <c r="H7" s="31" t="s">
        <v>60</v>
      </c>
      <c r="I7" s="31">
        <v>1</v>
      </c>
      <c r="J7" s="31">
        <v>2</v>
      </c>
      <c r="K7" s="32" t="str">
        <f t="shared" si="0"/>
        <v>12</v>
      </c>
      <c r="L7" s="39" t="s">
        <v>108</v>
      </c>
      <c r="M7" s="30"/>
      <c r="N7" s="41" t="s">
        <v>7</v>
      </c>
      <c r="Q7" s="167"/>
      <c r="R7" s="170" t="s">
        <v>9</v>
      </c>
      <c r="S7" s="177">
        <v>0</v>
      </c>
      <c r="T7" s="177">
        <v>30000</v>
      </c>
    </row>
    <row r="8" spans="2:45" ht="32.25" customHeight="1" x14ac:dyDescent="0.3">
      <c r="B8" s="25">
        <v>6</v>
      </c>
      <c r="C8" s="26" t="s">
        <v>277</v>
      </c>
      <c r="D8" s="27"/>
      <c r="E8" s="28" t="s">
        <v>65</v>
      </c>
      <c r="F8" s="29"/>
      <c r="H8" s="31" t="s">
        <v>60</v>
      </c>
      <c r="I8" s="31">
        <v>1</v>
      </c>
      <c r="J8" s="31">
        <v>2</v>
      </c>
      <c r="K8" s="32" t="str">
        <f t="shared" si="0"/>
        <v>12</v>
      </c>
      <c r="L8" s="39" t="s">
        <v>110</v>
      </c>
      <c r="M8" s="30"/>
      <c r="N8" s="41" t="s">
        <v>99</v>
      </c>
      <c r="AC8" s="27"/>
      <c r="AD8" s="27"/>
    </row>
    <row r="9" spans="2:45" ht="22.5" customHeight="1" x14ac:dyDescent="0.3">
      <c r="B9" s="25">
        <v>7</v>
      </c>
      <c r="C9" s="26" t="s">
        <v>278</v>
      </c>
      <c r="D9" s="27"/>
      <c r="E9" s="28" t="s">
        <v>284</v>
      </c>
      <c r="F9" s="29"/>
      <c r="H9" s="31" t="s">
        <v>60</v>
      </c>
      <c r="I9" s="31">
        <v>2</v>
      </c>
      <c r="J9" s="31">
        <v>1</v>
      </c>
      <c r="K9" s="32" t="str">
        <f t="shared" si="0"/>
        <v>21</v>
      </c>
      <c r="L9" s="39" t="s">
        <v>12</v>
      </c>
      <c r="M9" s="30"/>
      <c r="N9" s="40" t="s">
        <v>100</v>
      </c>
      <c r="P9" s="132" t="s">
        <v>251</v>
      </c>
      <c r="Q9" s="132" t="s">
        <v>254</v>
      </c>
      <c r="R9" s="132" t="s">
        <v>255</v>
      </c>
    </row>
    <row r="10" spans="2:45" ht="21" customHeight="1" x14ac:dyDescent="0.3">
      <c r="B10" s="25">
        <v>8</v>
      </c>
      <c r="C10" s="26" t="s">
        <v>272</v>
      </c>
      <c r="D10" s="27"/>
      <c r="E10" s="28" t="s">
        <v>66</v>
      </c>
      <c r="F10" s="29"/>
      <c r="H10" s="33" t="s">
        <v>63</v>
      </c>
      <c r="I10" s="33">
        <v>1</v>
      </c>
      <c r="J10" s="33">
        <v>1</v>
      </c>
      <c r="K10" s="32" t="str">
        <f t="shared" si="0"/>
        <v>11</v>
      </c>
      <c r="L10" s="30"/>
      <c r="M10" s="30"/>
      <c r="N10" s="41" t="s">
        <v>101</v>
      </c>
      <c r="P10" s="110" t="s">
        <v>134</v>
      </c>
      <c r="Q10" s="168"/>
      <c r="R10" s="169">
        <v>1</v>
      </c>
      <c r="W10" s="194" t="s">
        <v>130</v>
      </c>
      <c r="X10" s="194"/>
      <c r="Y10" s="194"/>
      <c r="Z10" s="194"/>
      <c r="AA10" s="194"/>
    </row>
    <row r="11" spans="2:45" ht="21.75" customHeight="1" x14ac:dyDescent="0.3">
      <c r="B11" s="25">
        <v>9</v>
      </c>
      <c r="C11" s="26" t="s">
        <v>235</v>
      </c>
      <c r="D11" s="27"/>
      <c r="E11" s="28" t="s">
        <v>285</v>
      </c>
      <c r="F11" s="29"/>
      <c r="H11" s="33" t="s">
        <v>63</v>
      </c>
      <c r="I11" s="33">
        <v>1</v>
      </c>
      <c r="J11" s="33">
        <v>1</v>
      </c>
      <c r="K11" s="32" t="str">
        <f t="shared" si="0"/>
        <v>11</v>
      </c>
      <c r="L11" s="30"/>
      <c r="M11" s="30"/>
      <c r="N11" s="41" t="s">
        <v>102</v>
      </c>
      <c r="P11" s="110" t="s">
        <v>133</v>
      </c>
      <c r="Q11" s="168">
        <v>0.3</v>
      </c>
      <c r="R11" s="169">
        <v>0.999</v>
      </c>
      <c r="W11" s="43" t="s">
        <v>9</v>
      </c>
      <c r="X11" s="43" t="s">
        <v>10</v>
      </c>
      <c r="Y11" s="43" t="s">
        <v>129</v>
      </c>
      <c r="Z11" s="43" t="s">
        <v>128</v>
      </c>
      <c r="AA11" s="43" t="s">
        <v>127</v>
      </c>
    </row>
    <row r="12" spans="2:45" ht="23.25" customHeight="1" x14ac:dyDescent="0.3">
      <c r="B12" s="25">
        <v>10</v>
      </c>
      <c r="C12" s="26" t="s">
        <v>265</v>
      </c>
      <c r="D12" s="27"/>
      <c r="E12" s="28" t="s">
        <v>286</v>
      </c>
      <c r="F12" s="29"/>
      <c r="H12" s="33" t="s">
        <v>63</v>
      </c>
      <c r="I12" s="33">
        <v>1</v>
      </c>
      <c r="J12" s="33">
        <v>1</v>
      </c>
      <c r="K12" s="32" t="str">
        <f t="shared" si="0"/>
        <v>11</v>
      </c>
      <c r="L12" s="30"/>
      <c r="M12" s="30"/>
      <c r="N12" s="41" t="s">
        <v>103</v>
      </c>
      <c r="P12" s="110" t="s">
        <v>132</v>
      </c>
      <c r="Q12" s="168">
        <v>0.1</v>
      </c>
      <c r="R12" s="169">
        <v>0.29899999999999999</v>
      </c>
      <c r="V12"/>
      <c r="W12" s="32">
        <v>1</v>
      </c>
      <c r="X12" s="32">
        <v>2</v>
      </c>
      <c r="Y12" s="32">
        <v>3</v>
      </c>
      <c r="Z12" s="32">
        <v>4</v>
      </c>
      <c r="AA12" s="32">
        <v>5</v>
      </c>
    </row>
    <row r="13" spans="2:45" ht="23.25" customHeight="1" x14ac:dyDescent="0.3">
      <c r="B13" s="25">
        <v>11</v>
      </c>
      <c r="C13" s="26" t="s">
        <v>83</v>
      </c>
      <c r="D13" s="27"/>
      <c r="E13" s="28" t="s">
        <v>67</v>
      </c>
      <c r="F13" s="29"/>
      <c r="H13" s="33" t="s">
        <v>63</v>
      </c>
      <c r="I13" s="33">
        <v>1</v>
      </c>
      <c r="J13" s="33">
        <v>2</v>
      </c>
      <c r="K13" s="32" t="str">
        <f t="shared" si="0"/>
        <v>12</v>
      </c>
      <c r="L13" s="30"/>
      <c r="M13" s="30"/>
      <c r="N13" s="40" t="s">
        <v>16</v>
      </c>
      <c r="P13" s="110" t="s">
        <v>14</v>
      </c>
      <c r="Q13" s="168">
        <v>0.05</v>
      </c>
      <c r="R13" s="169">
        <v>9.9000000000000005E-2</v>
      </c>
      <c r="T13" s="195" t="s">
        <v>131</v>
      </c>
      <c r="U13" s="44" t="s">
        <v>134</v>
      </c>
      <c r="V13" s="30">
        <v>1</v>
      </c>
      <c r="W13" s="49" t="s">
        <v>135</v>
      </c>
      <c r="X13" s="49" t="s">
        <v>135</v>
      </c>
      <c r="Y13" s="52" t="s">
        <v>138</v>
      </c>
      <c r="Z13" s="47" t="s">
        <v>136</v>
      </c>
      <c r="AA13" s="47" t="s">
        <v>136</v>
      </c>
    </row>
    <row r="14" spans="2:45" ht="16.5" customHeight="1" x14ac:dyDescent="0.3">
      <c r="B14" s="25">
        <v>12</v>
      </c>
      <c r="C14" s="26" t="s">
        <v>266</v>
      </c>
      <c r="D14" s="27"/>
      <c r="E14" s="28" t="s">
        <v>287</v>
      </c>
      <c r="F14" s="29"/>
      <c r="H14" s="33" t="s">
        <v>63</v>
      </c>
      <c r="I14" s="33">
        <v>1</v>
      </c>
      <c r="J14" s="33">
        <v>2</v>
      </c>
      <c r="K14" s="32" t="str">
        <f t="shared" si="0"/>
        <v>12</v>
      </c>
      <c r="L14" s="30"/>
      <c r="M14" s="30"/>
      <c r="N14" s="41" t="s">
        <v>104</v>
      </c>
      <c r="P14" s="110" t="s">
        <v>8</v>
      </c>
      <c r="Q14" s="168">
        <v>0</v>
      </c>
      <c r="R14" s="169">
        <v>4.9000000000000002E-2</v>
      </c>
      <c r="T14" s="195"/>
      <c r="U14" s="44" t="s">
        <v>133</v>
      </c>
      <c r="V14" s="30">
        <v>2</v>
      </c>
      <c r="W14" s="50" t="s">
        <v>137</v>
      </c>
      <c r="X14" s="49" t="s">
        <v>135</v>
      </c>
      <c r="Y14" s="49" t="s">
        <v>135</v>
      </c>
      <c r="Z14" s="52" t="s">
        <v>138</v>
      </c>
      <c r="AA14" s="47" t="s">
        <v>136</v>
      </c>
    </row>
    <row r="15" spans="2:45" ht="19.5" customHeight="1" x14ac:dyDescent="0.3">
      <c r="B15" s="25">
        <v>13</v>
      </c>
      <c r="C15" s="26" t="s">
        <v>267</v>
      </c>
      <c r="D15" s="27"/>
      <c r="E15" s="28" t="s">
        <v>68</v>
      </c>
      <c r="F15" s="29"/>
      <c r="H15" s="33" t="s">
        <v>63</v>
      </c>
      <c r="I15" s="33">
        <v>1</v>
      </c>
      <c r="J15" s="33">
        <v>2</v>
      </c>
      <c r="K15" s="32" t="str">
        <f t="shared" si="0"/>
        <v>12</v>
      </c>
      <c r="L15" s="30"/>
      <c r="M15" s="30"/>
      <c r="N15" s="41" t="s">
        <v>17</v>
      </c>
      <c r="T15" s="195"/>
      <c r="U15" s="44" t="s">
        <v>132</v>
      </c>
      <c r="V15" s="30">
        <v>3</v>
      </c>
      <c r="W15" s="50" t="s">
        <v>137</v>
      </c>
      <c r="X15" s="50" t="s">
        <v>137</v>
      </c>
      <c r="Y15" s="49" t="s">
        <v>135</v>
      </c>
      <c r="Z15" s="49" t="s">
        <v>135</v>
      </c>
      <c r="AA15" s="52" t="s">
        <v>138</v>
      </c>
    </row>
    <row r="16" spans="2:45" ht="19.5" customHeight="1" x14ac:dyDescent="0.3">
      <c r="B16" s="25">
        <v>14</v>
      </c>
      <c r="C16" s="26" t="s">
        <v>268</v>
      </c>
      <c r="D16" s="27"/>
      <c r="E16" s="28" t="s">
        <v>288</v>
      </c>
      <c r="F16" s="29"/>
      <c r="H16" s="33" t="s">
        <v>63</v>
      </c>
      <c r="I16" s="33">
        <v>1</v>
      </c>
      <c r="J16" s="33">
        <v>2</v>
      </c>
      <c r="K16" s="32" t="str">
        <f t="shared" si="0"/>
        <v>12</v>
      </c>
      <c r="L16" s="30"/>
      <c r="M16" s="30"/>
      <c r="N16" s="41" t="s">
        <v>105</v>
      </c>
      <c r="T16" s="195"/>
      <c r="U16" s="44" t="s">
        <v>14</v>
      </c>
      <c r="V16" s="30">
        <v>4</v>
      </c>
      <c r="W16" s="48" t="s">
        <v>50</v>
      </c>
      <c r="X16" s="50" t="s">
        <v>137</v>
      </c>
      <c r="Y16" s="50" t="s">
        <v>137</v>
      </c>
      <c r="Z16" s="49" t="s">
        <v>135</v>
      </c>
      <c r="AA16" s="49" t="s">
        <v>135</v>
      </c>
    </row>
    <row r="17" spans="2:29" ht="15.75" customHeight="1" x14ac:dyDescent="0.3">
      <c r="B17" s="25">
        <v>15</v>
      </c>
      <c r="C17" s="26" t="s">
        <v>269</v>
      </c>
      <c r="D17" s="27"/>
      <c r="E17" s="28" t="s">
        <v>289</v>
      </c>
      <c r="F17" s="29"/>
      <c r="H17" s="33" t="s">
        <v>63</v>
      </c>
      <c r="I17" s="33">
        <v>1</v>
      </c>
      <c r="J17" s="33">
        <v>2</v>
      </c>
      <c r="K17" s="32" t="str">
        <f t="shared" si="0"/>
        <v>12</v>
      </c>
      <c r="L17" s="30"/>
      <c r="M17" s="30"/>
      <c r="N17" s="41" t="s">
        <v>106</v>
      </c>
      <c r="P17" s="37" t="s">
        <v>371</v>
      </c>
      <c r="T17" s="195"/>
      <c r="U17" s="44" t="s">
        <v>8</v>
      </c>
      <c r="V17" s="30">
        <v>5</v>
      </c>
      <c r="W17" s="48" t="s">
        <v>50</v>
      </c>
      <c r="X17" s="48" t="s">
        <v>50</v>
      </c>
      <c r="Y17" s="50" t="s">
        <v>137</v>
      </c>
      <c r="Z17" s="50" t="s">
        <v>137</v>
      </c>
      <c r="AA17" s="49" t="s">
        <v>135</v>
      </c>
    </row>
    <row r="18" spans="2:29" ht="17.25" customHeight="1" x14ac:dyDescent="0.3">
      <c r="B18" s="25">
        <v>16</v>
      </c>
      <c r="C18" s="26" t="s">
        <v>93</v>
      </c>
      <c r="D18" s="27"/>
      <c r="E18" s="28" t="s">
        <v>290</v>
      </c>
      <c r="F18" s="29"/>
      <c r="H18" s="33" t="s">
        <v>63</v>
      </c>
      <c r="I18" s="33">
        <v>2</v>
      </c>
      <c r="J18" s="33">
        <v>1</v>
      </c>
      <c r="K18" s="32" t="str">
        <f t="shared" si="0"/>
        <v>21</v>
      </c>
      <c r="L18" s="30"/>
      <c r="M18" s="30"/>
      <c r="N18" s="41" t="s">
        <v>107</v>
      </c>
    </row>
    <row r="19" spans="2:29" ht="18.75" customHeight="1" x14ac:dyDescent="0.3">
      <c r="B19" s="25">
        <v>17</v>
      </c>
      <c r="C19" s="26" t="s">
        <v>270</v>
      </c>
      <c r="D19" s="27"/>
      <c r="E19" s="28" t="s">
        <v>291</v>
      </c>
      <c r="F19" s="29"/>
      <c r="H19" s="33" t="s">
        <v>63</v>
      </c>
      <c r="I19" s="33">
        <v>2</v>
      </c>
      <c r="J19" s="33">
        <v>1</v>
      </c>
      <c r="K19" s="32" t="str">
        <f t="shared" si="0"/>
        <v>21</v>
      </c>
      <c r="L19" s="30"/>
      <c r="M19" s="30"/>
      <c r="N19" s="40" t="s">
        <v>108</v>
      </c>
      <c r="P19" s="174" t="s">
        <v>361</v>
      </c>
      <c r="U19" s="53"/>
      <c r="V19" s="54"/>
      <c r="W19" s="111">
        <f>+T7</f>
        <v>30000</v>
      </c>
      <c r="X19" s="111">
        <f>+T6</f>
        <v>200000</v>
      </c>
      <c r="Y19" s="111">
        <f>+T5</f>
        <v>850000</v>
      </c>
      <c r="Z19" s="111">
        <f>+T4</f>
        <v>1700000</v>
      </c>
      <c r="AA19" s="111">
        <f>+T3</f>
        <v>2700000.01</v>
      </c>
      <c r="AB19" s="55"/>
    </row>
    <row r="20" spans="2:29" ht="15.75" customHeight="1" x14ac:dyDescent="0.3">
      <c r="B20" s="27"/>
      <c r="C20" s="27"/>
      <c r="D20" s="27"/>
      <c r="E20" s="28" t="s">
        <v>69</v>
      </c>
      <c r="F20" s="29"/>
      <c r="H20" s="33" t="s">
        <v>63</v>
      </c>
      <c r="I20" s="33">
        <v>2</v>
      </c>
      <c r="J20" s="33">
        <v>1</v>
      </c>
      <c r="K20" s="32" t="str">
        <f t="shared" si="0"/>
        <v>21</v>
      </c>
      <c r="L20" s="30"/>
      <c r="M20" s="30"/>
      <c r="N20" s="41" t="s">
        <v>109</v>
      </c>
      <c r="P20" s="174" t="s">
        <v>362</v>
      </c>
      <c r="U20" s="56"/>
      <c r="W20" s="57">
        <v>1.17</v>
      </c>
      <c r="X20" s="57">
        <v>4.33</v>
      </c>
      <c r="Y20" s="57">
        <v>12.95</v>
      </c>
      <c r="Z20" s="57">
        <v>36.36</v>
      </c>
      <c r="AA20" s="57">
        <v>100</v>
      </c>
      <c r="AB20" s="58"/>
    </row>
    <row r="21" spans="2:29" x14ac:dyDescent="0.3">
      <c r="B21" s="27"/>
      <c r="C21" s="131" t="s">
        <v>120</v>
      </c>
      <c r="D21" s="27"/>
      <c r="E21" s="28" t="s">
        <v>70</v>
      </c>
      <c r="F21" s="29"/>
      <c r="H21" s="33" t="s">
        <v>63</v>
      </c>
      <c r="I21" s="33">
        <v>2</v>
      </c>
      <c r="J21" s="33">
        <v>1</v>
      </c>
      <c r="K21" s="32" t="str">
        <f t="shared" si="0"/>
        <v>21</v>
      </c>
      <c r="L21" s="30"/>
      <c r="M21" s="30"/>
      <c r="N21" s="40" t="s">
        <v>110</v>
      </c>
      <c r="P21" s="174" t="s">
        <v>363</v>
      </c>
      <c r="U21" s="59"/>
      <c r="V21" s="57">
        <v>1</v>
      </c>
      <c r="W21" s="112">
        <f t="shared" ref="W21:W24" si="1">+V21*$W$19</f>
        <v>30000</v>
      </c>
      <c r="X21" s="112">
        <f t="shared" ref="X21:X24" si="2">+V21*$X$19</f>
        <v>200000</v>
      </c>
      <c r="Y21" s="113">
        <f t="shared" ref="Y21:Y24" si="3">+V21*$Y$19</f>
        <v>850000</v>
      </c>
      <c r="Z21" s="114">
        <f t="shared" ref="Z21:Z24" si="4">+V21*$Z$19</f>
        <v>1700000</v>
      </c>
      <c r="AA21" s="114">
        <f t="shared" ref="AA21:AA24" si="5">+V21*$AA$19</f>
        <v>2700000.01</v>
      </c>
      <c r="AB21" s="58"/>
    </row>
    <row r="22" spans="2:29" ht="27.75" customHeight="1" x14ac:dyDescent="0.3">
      <c r="B22" s="27"/>
      <c r="C22" s="35" t="s">
        <v>56</v>
      </c>
      <c r="D22" s="27"/>
      <c r="E22" s="28" t="s">
        <v>292</v>
      </c>
      <c r="F22" s="29"/>
      <c r="H22" s="33" t="s">
        <v>63</v>
      </c>
      <c r="I22" s="33">
        <v>2</v>
      </c>
      <c r="J22" s="33">
        <v>2</v>
      </c>
      <c r="K22" s="32" t="str">
        <f t="shared" si="0"/>
        <v>22</v>
      </c>
      <c r="L22" s="30"/>
      <c r="M22" s="30"/>
      <c r="N22" s="41" t="s">
        <v>111</v>
      </c>
      <c r="P22" s="174" t="s">
        <v>364</v>
      </c>
      <c r="U22" s="59"/>
      <c r="V22" s="57">
        <v>0.8</v>
      </c>
      <c r="W22" s="115">
        <f t="shared" si="1"/>
        <v>24000</v>
      </c>
      <c r="X22" s="112">
        <f t="shared" si="2"/>
        <v>160000</v>
      </c>
      <c r="Y22" s="112">
        <f t="shared" si="3"/>
        <v>680000</v>
      </c>
      <c r="Z22" s="113">
        <f t="shared" si="4"/>
        <v>1360000</v>
      </c>
      <c r="AA22" s="114">
        <f t="shared" si="5"/>
        <v>2160000.0079999999</v>
      </c>
      <c r="AB22" s="58"/>
    </row>
    <row r="23" spans="2:29" ht="19.5" customHeight="1" x14ac:dyDescent="0.3">
      <c r="B23" s="27"/>
      <c r="C23" s="35" t="s">
        <v>83</v>
      </c>
      <c r="D23" s="27"/>
      <c r="E23" s="28" t="s">
        <v>293</v>
      </c>
      <c r="F23" s="29"/>
      <c r="H23" s="33" t="s">
        <v>63</v>
      </c>
      <c r="I23" s="33">
        <v>2</v>
      </c>
      <c r="J23" s="33">
        <v>2</v>
      </c>
      <c r="K23" s="32" t="str">
        <f t="shared" si="0"/>
        <v>22</v>
      </c>
      <c r="L23" s="30"/>
      <c r="M23" s="30"/>
      <c r="N23" s="40" t="s">
        <v>12</v>
      </c>
      <c r="P23" s="174" t="s">
        <v>365</v>
      </c>
      <c r="U23" s="59"/>
      <c r="V23" s="57">
        <v>0.6</v>
      </c>
      <c r="W23" s="115">
        <f t="shared" si="1"/>
        <v>18000</v>
      </c>
      <c r="X23" s="115">
        <f t="shared" si="2"/>
        <v>120000</v>
      </c>
      <c r="Y23" s="112">
        <f t="shared" si="3"/>
        <v>510000</v>
      </c>
      <c r="Z23" s="112">
        <f t="shared" si="4"/>
        <v>1020000</v>
      </c>
      <c r="AA23" s="113">
        <f t="shared" si="5"/>
        <v>1620000.0059999998</v>
      </c>
      <c r="AB23" s="58"/>
      <c r="AC23" s="30" t="s">
        <v>167</v>
      </c>
    </row>
    <row r="24" spans="2:29" ht="19.5" customHeight="1" x14ac:dyDescent="0.3">
      <c r="B24" s="27"/>
      <c r="C24" s="35" t="s">
        <v>121</v>
      </c>
      <c r="D24" s="27"/>
      <c r="E24" s="28" t="s">
        <v>294</v>
      </c>
      <c r="F24" s="29"/>
      <c r="H24" s="33" t="s">
        <v>63</v>
      </c>
      <c r="I24" s="33">
        <v>2</v>
      </c>
      <c r="J24" s="33">
        <v>2</v>
      </c>
      <c r="K24" s="32" t="str">
        <f t="shared" si="0"/>
        <v>22</v>
      </c>
      <c r="L24" s="30"/>
      <c r="M24" s="30"/>
      <c r="N24" s="41" t="s">
        <v>13</v>
      </c>
      <c r="P24" s="174" t="s">
        <v>366</v>
      </c>
      <c r="U24" s="59"/>
      <c r="V24" s="57">
        <v>0.4</v>
      </c>
      <c r="W24" s="116">
        <f t="shared" si="1"/>
        <v>12000</v>
      </c>
      <c r="X24" s="115">
        <f t="shared" si="2"/>
        <v>80000</v>
      </c>
      <c r="Y24" s="115">
        <f t="shared" si="3"/>
        <v>340000</v>
      </c>
      <c r="Z24" s="112">
        <f t="shared" si="4"/>
        <v>680000</v>
      </c>
      <c r="AA24" s="112">
        <f t="shared" si="5"/>
        <v>1080000.004</v>
      </c>
      <c r="AB24" s="58"/>
    </row>
    <row r="25" spans="2:29" ht="23.25" customHeight="1" x14ac:dyDescent="0.3">
      <c r="B25" s="27"/>
      <c r="C25" s="35" t="s">
        <v>122</v>
      </c>
      <c r="D25" s="27"/>
      <c r="E25" s="28" t="s">
        <v>295</v>
      </c>
      <c r="F25" s="29"/>
      <c r="H25" s="33" t="s">
        <v>63</v>
      </c>
      <c r="I25" s="33">
        <v>2</v>
      </c>
      <c r="J25" s="33">
        <v>2</v>
      </c>
      <c r="K25" s="32" t="str">
        <f t="shared" si="0"/>
        <v>22</v>
      </c>
      <c r="L25" s="30"/>
      <c r="M25" s="30"/>
      <c r="N25" s="41" t="s">
        <v>112</v>
      </c>
      <c r="P25" s="174" t="s">
        <v>367</v>
      </c>
      <c r="U25" s="59"/>
      <c r="V25" s="57">
        <v>0.2</v>
      </c>
      <c r="W25" s="116">
        <f>+V25*$W$19</f>
        <v>6000</v>
      </c>
      <c r="X25" s="116">
        <f>+V25*$X$19</f>
        <v>40000</v>
      </c>
      <c r="Y25" s="115">
        <f>+V25*$Y$19</f>
        <v>170000</v>
      </c>
      <c r="Z25" s="115">
        <f>+V25*$Z$19</f>
        <v>340000</v>
      </c>
      <c r="AA25" s="112">
        <f>+V25*$AA$19</f>
        <v>540000.00199999998</v>
      </c>
      <c r="AB25" s="58"/>
    </row>
    <row r="26" spans="2:29" ht="23.25" customHeight="1" x14ac:dyDescent="0.3">
      <c r="B26" s="27"/>
      <c r="C26" s="27"/>
      <c r="D26" s="27"/>
      <c r="E26" s="28" t="s">
        <v>296</v>
      </c>
      <c r="F26" s="29"/>
      <c r="H26" s="33" t="s">
        <v>63</v>
      </c>
      <c r="I26" s="33">
        <v>2</v>
      </c>
      <c r="J26" s="33">
        <v>3</v>
      </c>
      <c r="K26" s="32" t="str">
        <f t="shared" si="0"/>
        <v>23</v>
      </c>
      <c r="L26" s="30"/>
      <c r="M26" s="30"/>
      <c r="N26" s="41" t="s">
        <v>113</v>
      </c>
      <c r="P26" s="174" t="s">
        <v>287</v>
      </c>
      <c r="U26" s="56"/>
      <c r="AB26" s="58"/>
    </row>
    <row r="27" spans="2:29" ht="22.5" customHeight="1" x14ac:dyDescent="0.3">
      <c r="B27" s="27"/>
      <c r="C27" s="27"/>
      <c r="D27" s="27"/>
      <c r="E27" s="28" t="s">
        <v>72</v>
      </c>
      <c r="F27" s="29"/>
      <c r="H27" s="33" t="s">
        <v>63</v>
      </c>
      <c r="I27" s="33">
        <v>2</v>
      </c>
      <c r="J27" s="33">
        <v>3</v>
      </c>
      <c r="K27" s="32" t="str">
        <f t="shared" si="0"/>
        <v>23</v>
      </c>
      <c r="L27" s="30"/>
      <c r="M27" s="30"/>
      <c r="N27" s="41" t="s">
        <v>114</v>
      </c>
      <c r="P27" s="174" t="s">
        <v>368</v>
      </c>
      <c r="U27" s="56"/>
      <c r="Z27" s="37"/>
      <c r="AA27" s="57"/>
      <c r="AB27" s="58"/>
    </row>
    <row r="28" spans="2:29" ht="29.25" customHeight="1" x14ac:dyDescent="0.3">
      <c r="B28" s="27"/>
      <c r="C28" s="131" t="s">
        <v>123</v>
      </c>
      <c r="D28" s="27"/>
      <c r="E28" s="28" t="s">
        <v>73</v>
      </c>
      <c r="F28" s="29"/>
      <c r="H28" s="33" t="s">
        <v>63</v>
      </c>
      <c r="I28" s="33">
        <v>3</v>
      </c>
      <c r="J28" s="33">
        <v>1</v>
      </c>
      <c r="K28" s="32" t="str">
        <f t="shared" si="0"/>
        <v>31</v>
      </c>
      <c r="L28" s="30"/>
      <c r="M28" s="30"/>
      <c r="N28" s="41" t="s">
        <v>115</v>
      </c>
      <c r="P28" s="174" t="s">
        <v>369</v>
      </c>
      <c r="U28" s="56"/>
      <c r="Z28" s="37" t="s">
        <v>256</v>
      </c>
      <c r="AA28" s="117" t="s">
        <v>257</v>
      </c>
      <c r="AB28" s="58"/>
    </row>
    <row r="29" spans="2:29" ht="27.75" customHeight="1" x14ac:dyDescent="0.3">
      <c r="B29" s="27"/>
      <c r="C29" s="35" t="b">
        <v>1</v>
      </c>
      <c r="D29" s="27"/>
      <c r="E29" s="28" t="s">
        <v>74</v>
      </c>
      <c r="F29" s="29"/>
      <c r="H29" s="33" t="s">
        <v>63</v>
      </c>
      <c r="I29" s="33">
        <v>3</v>
      </c>
      <c r="J29" s="33">
        <v>1</v>
      </c>
      <c r="K29" s="32" t="str">
        <f t="shared" si="0"/>
        <v>31</v>
      </c>
      <c r="L29" s="30"/>
      <c r="M29" s="30"/>
      <c r="N29" s="41" t="s">
        <v>116</v>
      </c>
      <c r="P29" s="174" t="s">
        <v>370</v>
      </c>
      <c r="U29" s="56"/>
      <c r="Z29" s="37" t="s">
        <v>258</v>
      </c>
      <c r="AA29" s="63">
        <v>7200744</v>
      </c>
      <c r="AB29" s="58"/>
    </row>
    <row r="30" spans="2:29" ht="17.25" customHeight="1" x14ac:dyDescent="0.3">
      <c r="B30" s="27"/>
      <c r="C30" s="35" t="b">
        <v>0</v>
      </c>
      <c r="D30" s="27"/>
      <c r="E30" s="28" t="s">
        <v>75</v>
      </c>
      <c r="F30" s="29"/>
      <c r="H30" s="33" t="s">
        <v>63</v>
      </c>
      <c r="I30" s="33">
        <v>3</v>
      </c>
      <c r="J30" s="33">
        <v>1</v>
      </c>
      <c r="K30" s="32" t="str">
        <f t="shared" si="0"/>
        <v>31</v>
      </c>
      <c r="L30" s="30"/>
      <c r="M30" s="30"/>
      <c r="P30"/>
      <c r="U30" s="56"/>
      <c r="Z30" s="37" t="s">
        <v>259</v>
      </c>
      <c r="AA30" s="63"/>
      <c r="AB30" s="58"/>
    </row>
    <row r="31" spans="2:29" ht="19.5" customHeight="1" x14ac:dyDescent="0.3">
      <c r="B31" s="27"/>
      <c r="C31" s="27"/>
      <c r="D31" s="27"/>
      <c r="E31" s="28" t="s">
        <v>76</v>
      </c>
      <c r="F31" s="29"/>
      <c r="H31" s="33" t="s">
        <v>63</v>
      </c>
      <c r="I31" s="33">
        <v>3</v>
      </c>
      <c r="J31" s="33">
        <v>2</v>
      </c>
      <c r="K31" s="32" t="str">
        <f t="shared" si="0"/>
        <v>32</v>
      </c>
      <c r="L31" s="30"/>
      <c r="M31" s="30"/>
      <c r="P31"/>
      <c r="U31" s="60"/>
      <c r="V31" s="61"/>
      <c r="W31" s="61"/>
      <c r="X31" s="61"/>
      <c r="Y31" s="61"/>
      <c r="Z31" s="61"/>
      <c r="AA31" s="61"/>
      <c r="AB31" s="62"/>
    </row>
    <row r="32" spans="2:29" ht="21.75" customHeight="1" x14ac:dyDescent="0.3">
      <c r="B32" s="27"/>
      <c r="C32" s="131"/>
      <c r="D32" s="27"/>
      <c r="E32" s="28" t="s">
        <v>77</v>
      </c>
      <c r="F32" s="29"/>
      <c r="H32" s="33" t="s">
        <v>63</v>
      </c>
      <c r="I32" s="33">
        <v>3</v>
      </c>
      <c r="J32" s="33">
        <v>2</v>
      </c>
      <c r="K32" s="32" t="str">
        <f t="shared" si="0"/>
        <v>32</v>
      </c>
      <c r="L32" s="30"/>
      <c r="M32" s="30"/>
      <c r="P32"/>
    </row>
    <row r="33" spans="2:29" ht="19.5" customHeight="1" x14ac:dyDescent="0.3">
      <c r="B33" s="27"/>
      <c r="C33" s="27" t="s">
        <v>130</v>
      </c>
      <c r="D33" s="27"/>
      <c r="E33" s="28" t="s">
        <v>78</v>
      </c>
      <c r="F33" s="29"/>
      <c r="H33" s="33" t="s">
        <v>63</v>
      </c>
      <c r="I33" s="33">
        <v>4</v>
      </c>
      <c r="J33" s="33">
        <v>1</v>
      </c>
      <c r="K33" s="32" t="str">
        <f t="shared" si="0"/>
        <v>41</v>
      </c>
      <c r="L33" s="30"/>
      <c r="M33" s="30"/>
      <c r="P33" s="175" t="s">
        <v>373</v>
      </c>
      <c r="U33" s="53"/>
      <c r="V33" s="54"/>
      <c r="W33" s="54"/>
      <c r="X33" s="54"/>
      <c r="Y33" s="54"/>
      <c r="Z33" s="54"/>
      <c r="AA33" s="54"/>
      <c r="AB33" s="55"/>
    </row>
    <row r="34" spans="2:29" x14ac:dyDescent="0.3">
      <c r="B34" s="27"/>
      <c r="C34" s="37" t="s">
        <v>131</v>
      </c>
      <c r="D34" s="27"/>
      <c r="E34" s="28" t="s">
        <v>79</v>
      </c>
      <c r="F34" s="29"/>
      <c r="H34" s="33" t="s">
        <v>63</v>
      </c>
      <c r="I34" s="33">
        <v>4</v>
      </c>
      <c r="J34" s="33">
        <v>1</v>
      </c>
      <c r="K34" s="32" t="str">
        <f t="shared" si="0"/>
        <v>41</v>
      </c>
      <c r="L34" s="30"/>
      <c r="M34" s="30"/>
      <c r="U34" s="56"/>
      <c r="AB34" s="58"/>
      <c r="AC34" s="30" t="s">
        <v>168</v>
      </c>
    </row>
    <row r="35" spans="2:29" ht="18" customHeight="1" x14ac:dyDescent="0.3">
      <c r="B35" s="27"/>
      <c r="C35" s="37" t="s">
        <v>151</v>
      </c>
      <c r="D35" s="27"/>
      <c r="E35" s="28" t="s">
        <v>80</v>
      </c>
      <c r="F35" s="29"/>
      <c r="H35" s="33" t="s">
        <v>63</v>
      </c>
      <c r="I35" s="33">
        <v>4</v>
      </c>
      <c r="J35" s="33">
        <v>1</v>
      </c>
      <c r="K35" s="32" t="str">
        <f t="shared" si="0"/>
        <v>41</v>
      </c>
      <c r="L35" s="30"/>
      <c r="M35" s="30"/>
      <c r="P35" s="174" t="s">
        <v>374</v>
      </c>
      <c r="U35" s="56"/>
      <c r="AB35" s="58"/>
    </row>
    <row r="36" spans="2:29" x14ac:dyDescent="0.3">
      <c r="B36" s="27"/>
      <c r="D36" s="27"/>
      <c r="E36" s="28" t="s">
        <v>172</v>
      </c>
      <c r="F36" s="29"/>
      <c r="H36" s="33" t="s">
        <v>63</v>
      </c>
      <c r="I36" s="33">
        <v>4</v>
      </c>
      <c r="J36" s="33">
        <v>1</v>
      </c>
      <c r="K36" s="32" t="str">
        <f t="shared" si="0"/>
        <v>41</v>
      </c>
      <c r="L36" s="30"/>
      <c r="M36" s="30"/>
      <c r="P36" s="174" t="s">
        <v>375</v>
      </c>
      <c r="U36" s="56"/>
      <c r="W36" s="57"/>
      <c r="X36" s="57"/>
      <c r="Y36" s="57"/>
      <c r="Z36" s="57"/>
      <c r="AA36" s="57"/>
      <c r="AB36" s="58"/>
    </row>
    <row r="37" spans="2:29" ht="15.75" customHeight="1" x14ac:dyDescent="0.3">
      <c r="B37" s="27"/>
      <c r="D37" s="27"/>
      <c r="E37" s="28" t="s">
        <v>81</v>
      </c>
      <c r="F37" s="29"/>
      <c r="H37" s="33" t="s">
        <v>63</v>
      </c>
      <c r="I37" s="33">
        <v>4</v>
      </c>
      <c r="J37" s="33">
        <v>1</v>
      </c>
      <c r="K37" s="32" t="str">
        <f t="shared" si="0"/>
        <v>41</v>
      </c>
      <c r="L37" s="30"/>
      <c r="M37" s="30"/>
      <c r="P37" s="174" t="s">
        <v>265</v>
      </c>
      <c r="U37" s="56"/>
      <c r="V37" s="63"/>
      <c r="W37" s="49">
        <v>84248.704799999992</v>
      </c>
      <c r="X37" s="49">
        <v>311792.21519999998</v>
      </c>
      <c r="Y37" s="52">
        <v>932496.348</v>
      </c>
      <c r="Z37" s="47">
        <v>2618190.5183999999</v>
      </c>
      <c r="AA37" s="47">
        <v>7200744</v>
      </c>
      <c r="AB37" s="58"/>
    </row>
    <row r="38" spans="2:29" ht="15.75" customHeight="1" x14ac:dyDescent="0.3">
      <c r="B38" s="27"/>
      <c r="C38" s="131" t="s">
        <v>160</v>
      </c>
      <c r="D38" s="27"/>
      <c r="E38" s="28" t="s">
        <v>82</v>
      </c>
      <c r="F38" s="29"/>
      <c r="H38" s="33" t="s">
        <v>63</v>
      </c>
      <c r="I38" s="33">
        <v>4</v>
      </c>
      <c r="J38" s="33">
        <v>1</v>
      </c>
      <c r="K38" s="32" t="str">
        <f t="shared" si="0"/>
        <v>41</v>
      </c>
      <c r="L38" s="30"/>
      <c r="M38" s="30"/>
      <c r="P38" s="174" t="s">
        <v>376</v>
      </c>
      <c r="U38" s="56"/>
      <c r="V38" s="63"/>
      <c r="W38" s="50">
        <v>67398.963839999997</v>
      </c>
      <c r="X38" s="49">
        <v>249433.77215999999</v>
      </c>
      <c r="Y38" s="49">
        <v>745997.0784</v>
      </c>
      <c r="Z38" s="52">
        <v>2094552.41472</v>
      </c>
      <c r="AA38" s="47">
        <v>5760595.2000000002</v>
      </c>
      <c r="AB38" s="58"/>
    </row>
    <row r="39" spans="2:29" ht="19.5" customHeight="1" x14ac:dyDescent="0.3">
      <c r="B39" s="27"/>
      <c r="C39" s="27" t="s">
        <v>156</v>
      </c>
      <c r="D39" s="27"/>
      <c r="E39" s="28" t="s">
        <v>84</v>
      </c>
      <c r="F39" s="29"/>
      <c r="H39" s="33" t="s">
        <v>63</v>
      </c>
      <c r="I39" s="33">
        <v>4</v>
      </c>
      <c r="J39" s="33">
        <v>1</v>
      </c>
      <c r="K39" s="32" t="str">
        <f t="shared" si="0"/>
        <v>41</v>
      </c>
      <c r="L39" s="30"/>
      <c r="M39" s="30"/>
      <c r="P39" s="174" t="s">
        <v>377</v>
      </c>
      <c r="U39" s="56"/>
      <c r="V39" s="63"/>
      <c r="W39" s="50">
        <v>50549.222879999994</v>
      </c>
      <c r="X39" s="50">
        <v>187075.32911999998</v>
      </c>
      <c r="Y39" s="49">
        <v>559497.8088</v>
      </c>
      <c r="Z39" s="49">
        <v>1570914.3110399998</v>
      </c>
      <c r="AA39" s="52">
        <v>4320446.3999999994</v>
      </c>
      <c r="AB39" s="58"/>
    </row>
    <row r="40" spans="2:29" ht="14.25" customHeight="1" x14ac:dyDescent="0.3">
      <c r="B40" s="27"/>
      <c r="C40" s="37" t="s">
        <v>157</v>
      </c>
      <c r="D40" s="27"/>
      <c r="E40" s="28" t="s">
        <v>85</v>
      </c>
      <c r="F40" s="29"/>
      <c r="H40" s="33" t="s">
        <v>63</v>
      </c>
      <c r="I40" s="33">
        <v>4</v>
      </c>
      <c r="J40" s="33">
        <v>1</v>
      </c>
      <c r="K40" s="32" t="str">
        <f t="shared" si="0"/>
        <v>41</v>
      </c>
      <c r="L40" s="30"/>
      <c r="M40" s="30"/>
      <c r="P40" s="174" t="s">
        <v>378</v>
      </c>
      <c r="U40" s="56"/>
      <c r="V40" s="63"/>
      <c r="W40" s="48">
        <v>33699.481919999998</v>
      </c>
      <c r="X40" s="50">
        <v>124716.88608</v>
      </c>
      <c r="Y40" s="50">
        <v>372998.5392</v>
      </c>
      <c r="Z40" s="49">
        <v>1047276.20736</v>
      </c>
      <c r="AA40" s="49">
        <v>2880297.6</v>
      </c>
      <c r="AB40" s="58"/>
    </row>
    <row r="41" spans="2:29" ht="14.4" x14ac:dyDescent="0.3">
      <c r="B41" s="27"/>
      <c r="C41" s="37" t="s">
        <v>158</v>
      </c>
      <c r="D41" s="27"/>
      <c r="E41" s="28" t="s">
        <v>86</v>
      </c>
      <c r="F41" s="29"/>
      <c r="H41" s="33" t="s">
        <v>63</v>
      </c>
      <c r="I41" s="33">
        <v>4</v>
      </c>
      <c r="J41" s="33">
        <v>1</v>
      </c>
      <c r="K41" s="32" t="str">
        <f t="shared" si="0"/>
        <v>41</v>
      </c>
      <c r="L41" s="30"/>
      <c r="M41" s="30"/>
      <c r="P41"/>
      <c r="U41" s="56"/>
      <c r="V41" s="63"/>
      <c r="W41" s="48">
        <v>16849.740959999999</v>
      </c>
      <c r="X41" s="48">
        <v>62358.443039999998</v>
      </c>
      <c r="Y41" s="50">
        <v>186499.2696</v>
      </c>
      <c r="Z41" s="50">
        <v>523638.10368</v>
      </c>
      <c r="AA41" s="49">
        <v>1440148.8</v>
      </c>
      <c r="AB41" s="58"/>
    </row>
    <row r="42" spans="2:29" ht="17.25" customHeight="1" x14ac:dyDescent="0.3">
      <c r="B42" s="27"/>
      <c r="C42" s="37" t="s">
        <v>159</v>
      </c>
      <c r="D42" s="27"/>
      <c r="E42" s="28" t="s">
        <v>87</v>
      </c>
      <c r="F42" s="29"/>
      <c r="H42" s="33" t="s">
        <v>63</v>
      </c>
      <c r="I42" s="33">
        <v>4</v>
      </c>
      <c r="J42" s="33">
        <v>1</v>
      </c>
      <c r="K42" s="32" t="str">
        <f t="shared" si="0"/>
        <v>41</v>
      </c>
      <c r="L42" s="30"/>
      <c r="M42" s="30"/>
      <c r="P42"/>
      <c r="U42" s="56"/>
      <c r="AB42" s="58"/>
    </row>
    <row r="43" spans="2:29" ht="14.25" customHeight="1" x14ac:dyDescent="0.3">
      <c r="B43" s="27"/>
      <c r="C43" s="27"/>
      <c r="D43" s="27"/>
      <c r="E43" s="28" t="s">
        <v>297</v>
      </c>
      <c r="F43" s="29"/>
      <c r="H43" s="33" t="s">
        <v>63</v>
      </c>
      <c r="I43" s="33">
        <v>4</v>
      </c>
      <c r="J43" s="33">
        <v>1</v>
      </c>
      <c r="K43" s="32" t="str">
        <f t="shared" si="0"/>
        <v>41</v>
      </c>
      <c r="L43" s="30"/>
      <c r="M43" s="30"/>
      <c r="P43"/>
      <c r="U43" s="56"/>
      <c r="AA43" s="42">
        <v>7200744</v>
      </c>
      <c r="AB43" s="58"/>
    </row>
    <row r="44" spans="2:29" ht="18" customHeight="1" x14ac:dyDescent="0.3">
      <c r="B44" s="27"/>
      <c r="C44" s="27"/>
      <c r="D44" s="27"/>
      <c r="E44" s="28" t="s">
        <v>298</v>
      </c>
      <c r="F44" s="29"/>
      <c r="H44" s="33" t="s">
        <v>63</v>
      </c>
      <c r="I44" s="33">
        <v>4</v>
      </c>
      <c r="J44" s="33">
        <v>1</v>
      </c>
      <c r="K44" s="32" t="str">
        <f t="shared" si="0"/>
        <v>41</v>
      </c>
      <c r="L44" s="30"/>
      <c r="M44" s="30"/>
      <c r="P44"/>
      <c r="U44" s="56"/>
      <c r="AB44" s="58"/>
    </row>
    <row r="45" spans="2:29" ht="14.4" x14ac:dyDescent="0.3">
      <c r="B45" s="27"/>
      <c r="C45" s="27"/>
      <c r="D45" s="27"/>
      <c r="E45" s="28" t="s">
        <v>299</v>
      </c>
      <c r="F45" s="29"/>
      <c r="H45" s="33" t="s">
        <v>63</v>
      </c>
      <c r="I45" s="33">
        <v>4</v>
      </c>
      <c r="J45" s="33">
        <v>1</v>
      </c>
      <c r="K45" s="32" t="str">
        <f t="shared" si="0"/>
        <v>41</v>
      </c>
      <c r="L45" s="30"/>
      <c r="M45" s="30"/>
      <c r="P45"/>
      <c r="U45" s="56"/>
      <c r="AB45" s="58"/>
    </row>
    <row r="46" spans="2:29" ht="17.25" customHeight="1" x14ac:dyDescent="0.3">
      <c r="B46" s="27"/>
      <c r="C46" s="131" t="s">
        <v>161</v>
      </c>
      <c r="D46" s="27"/>
      <c r="E46" s="28" t="s">
        <v>300</v>
      </c>
      <c r="F46" s="29"/>
      <c r="H46" s="33" t="s">
        <v>63</v>
      </c>
      <c r="I46" s="33">
        <v>4</v>
      </c>
      <c r="J46" s="33">
        <v>1</v>
      </c>
      <c r="K46" s="32" t="str">
        <f t="shared" si="0"/>
        <v>41</v>
      </c>
      <c r="L46" s="30"/>
      <c r="M46" s="30"/>
      <c r="P46"/>
      <c r="U46" s="56"/>
      <c r="AB46" s="58"/>
    </row>
    <row r="47" spans="2:29" ht="16.5" customHeight="1" x14ac:dyDescent="0.3">
      <c r="B47" s="27"/>
      <c r="C47" s="27" t="s">
        <v>162</v>
      </c>
      <c r="D47" s="27"/>
      <c r="E47" s="28" t="s">
        <v>301</v>
      </c>
      <c r="F47" s="29"/>
      <c r="H47" s="33" t="s">
        <v>63</v>
      </c>
      <c r="I47" s="33">
        <v>4</v>
      </c>
      <c r="J47" s="33">
        <v>1</v>
      </c>
      <c r="K47" s="32" t="str">
        <f t="shared" si="0"/>
        <v>41</v>
      </c>
      <c r="L47" s="30"/>
      <c r="M47" s="30"/>
      <c r="P47"/>
      <c r="U47" s="56"/>
      <c r="AB47" s="58"/>
    </row>
    <row r="48" spans="2:29" ht="18" customHeight="1" x14ac:dyDescent="0.3">
      <c r="B48" s="27"/>
      <c r="C48" s="37" t="s">
        <v>163</v>
      </c>
      <c r="D48" s="27"/>
      <c r="E48" s="28" t="s">
        <v>302</v>
      </c>
      <c r="F48" s="29"/>
      <c r="H48" s="33" t="s">
        <v>63</v>
      </c>
      <c r="I48" s="33">
        <v>4</v>
      </c>
      <c r="J48" s="33">
        <v>1</v>
      </c>
      <c r="K48" s="32" t="str">
        <f t="shared" si="0"/>
        <v>41</v>
      </c>
      <c r="L48" s="30"/>
      <c r="M48" s="30"/>
      <c r="P48"/>
      <c r="U48" s="56"/>
      <c r="AB48" s="58"/>
    </row>
    <row r="49" spans="2:32" ht="15.75" customHeight="1" x14ac:dyDescent="0.3">
      <c r="B49" s="27"/>
      <c r="C49" s="37" t="s">
        <v>164</v>
      </c>
      <c r="D49" s="27"/>
      <c r="E49" s="28" t="s">
        <v>11</v>
      </c>
      <c r="F49" s="29"/>
      <c r="H49" s="33" t="s">
        <v>63</v>
      </c>
      <c r="I49" s="33">
        <v>4</v>
      </c>
      <c r="J49" s="33">
        <v>2</v>
      </c>
      <c r="K49" s="32" t="str">
        <f t="shared" si="0"/>
        <v>42</v>
      </c>
      <c r="L49" s="30"/>
      <c r="M49" s="30"/>
      <c r="P49"/>
      <c r="U49" s="60"/>
      <c r="V49" s="61"/>
      <c r="W49" s="61"/>
      <c r="X49" s="61"/>
      <c r="Y49" s="61"/>
      <c r="Z49" s="61"/>
      <c r="AA49" s="61"/>
      <c r="AB49" s="62"/>
    </row>
    <row r="50" spans="2:32" ht="18" customHeight="1" x14ac:dyDescent="0.3">
      <c r="B50" s="27"/>
      <c r="C50" s="37" t="s">
        <v>165</v>
      </c>
      <c r="D50" s="27"/>
      <c r="E50" s="28" t="s">
        <v>303</v>
      </c>
      <c r="F50" s="29"/>
      <c r="H50" s="33" t="s">
        <v>63</v>
      </c>
      <c r="I50" s="33">
        <v>4</v>
      </c>
      <c r="J50" s="33">
        <v>2</v>
      </c>
      <c r="K50" s="32" t="str">
        <f t="shared" si="0"/>
        <v>42</v>
      </c>
      <c r="L50" s="30"/>
      <c r="M50" s="30"/>
      <c r="P50"/>
    </row>
    <row r="51" spans="2:32" ht="14.25" customHeight="1" x14ac:dyDescent="0.3">
      <c r="B51" s="27"/>
      <c r="C51" s="27" t="s">
        <v>166</v>
      </c>
      <c r="D51" s="27"/>
      <c r="E51" s="28" t="s">
        <v>88</v>
      </c>
      <c r="F51" s="29"/>
      <c r="H51" s="33" t="s">
        <v>63</v>
      </c>
      <c r="I51" s="33">
        <v>4</v>
      </c>
      <c r="J51" s="33">
        <v>2</v>
      </c>
      <c r="K51" s="32" t="str">
        <f t="shared" si="0"/>
        <v>42</v>
      </c>
      <c r="L51" s="30"/>
      <c r="M51" s="30"/>
      <c r="P51"/>
    </row>
    <row r="52" spans="2:32" ht="16.5" customHeight="1" x14ac:dyDescent="0.3">
      <c r="B52" s="27"/>
      <c r="C52" s="27"/>
      <c r="D52" s="27"/>
      <c r="E52" s="28" t="s">
        <v>89</v>
      </c>
      <c r="F52" s="29"/>
      <c r="H52" s="33" t="s">
        <v>63</v>
      </c>
      <c r="I52" s="33">
        <v>4</v>
      </c>
      <c r="J52" s="33">
        <v>2</v>
      </c>
      <c r="K52" s="32" t="str">
        <f t="shared" si="0"/>
        <v>42</v>
      </c>
      <c r="L52" s="30"/>
      <c r="M52" s="30"/>
      <c r="P52"/>
    </row>
    <row r="53" spans="2:32" ht="15.75" customHeight="1" x14ac:dyDescent="0.3">
      <c r="B53" s="27"/>
      <c r="C53" s="27"/>
      <c r="D53" s="27"/>
      <c r="E53" s="28" t="s">
        <v>304</v>
      </c>
      <c r="F53" s="29"/>
      <c r="H53" s="33" t="s">
        <v>63</v>
      </c>
      <c r="I53" s="33">
        <v>4</v>
      </c>
      <c r="J53" s="33">
        <v>2</v>
      </c>
      <c r="K53" s="32" t="str">
        <f t="shared" si="0"/>
        <v>42</v>
      </c>
      <c r="L53" s="30"/>
      <c r="M53" s="30"/>
      <c r="P53"/>
    </row>
    <row r="54" spans="2:32" ht="16.5" customHeight="1" x14ac:dyDescent="0.3">
      <c r="B54" s="27"/>
      <c r="C54" s="27"/>
      <c r="D54" s="27"/>
      <c r="E54" s="28" t="s">
        <v>90</v>
      </c>
      <c r="F54" s="29"/>
      <c r="H54" s="33" t="s">
        <v>63</v>
      </c>
      <c r="I54" s="33">
        <v>4</v>
      </c>
      <c r="J54" s="33">
        <v>2</v>
      </c>
      <c r="K54" s="32" t="str">
        <f t="shared" si="0"/>
        <v>42</v>
      </c>
      <c r="L54" s="30"/>
      <c r="M54" s="30"/>
      <c r="P54"/>
      <c r="AC54" s="51"/>
      <c r="AD54" s="51"/>
      <c r="AE54" s="51"/>
      <c r="AF54" s="51"/>
    </row>
    <row r="55" spans="2:32" ht="15.75" customHeight="1" x14ac:dyDescent="0.3">
      <c r="B55" s="27"/>
      <c r="C55" s="27"/>
      <c r="D55" s="27"/>
      <c r="E55" s="28" t="s">
        <v>91</v>
      </c>
      <c r="F55" s="29"/>
      <c r="H55" s="33" t="s">
        <v>63</v>
      </c>
      <c r="I55" s="33">
        <v>4</v>
      </c>
      <c r="J55" s="33">
        <v>2</v>
      </c>
      <c r="K55" s="32" t="str">
        <f t="shared" si="0"/>
        <v>42</v>
      </c>
      <c r="L55" s="30"/>
      <c r="M55" s="30"/>
      <c r="P55"/>
      <c r="Y55" s="132" t="s">
        <v>251</v>
      </c>
      <c r="Z55" s="132" t="s">
        <v>254</v>
      </c>
      <c r="AA55" s="132" t="s">
        <v>255</v>
      </c>
      <c r="AC55" s="51"/>
      <c r="AD55" s="51"/>
      <c r="AE55" s="51"/>
      <c r="AF55" s="51"/>
    </row>
    <row r="56" spans="2:32" ht="14.4" x14ac:dyDescent="0.3">
      <c r="B56" s="27"/>
      <c r="C56" s="27"/>
      <c r="D56" s="27"/>
      <c r="E56" s="28" t="s">
        <v>92</v>
      </c>
      <c r="F56" s="29"/>
      <c r="H56" s="33" t="s">
        <v>63</v>
      </c>
      <c r="I56" s="33">
        <v>4</v>
      </c>
      <c r="J56" s="33">
        <v>2</v>
      </c>
      <c r="K56" s="32" t="str">
        <f t="shared" si="0"/>
        <v>42</v>
      </c>
      <c r="L56" s="30"/>
      <c r="M56" s="30"/>
      <c r="P56"/>
      <c r="X56" s="173" t="s">
        <v>350</v>
      </c>
      <c r="Y56" s="110" t="s">
        <v>134</v>
      </c>
      <c r="Z56" s="120"/>
      <c r="AA56" s="120">
        <v>1</v>
      </c>
      <c r="AC56" s="51"/>
      <c r="AD56" s="51"/>
      <c r="AE56" s="51"/>
      <c r="AF56" s="51"/>
    </row>
    <row r="57" spans="2:32" ht="14.4" x14ac:dyDescent="0.3">
      <c r="B57" s="27"/>
      <c r="C57" s="27"/>
      <c r="D57" s="27"/>
      <c r="E57" s="28" t="s">
        <v>94</v>
      </c>
      <c r="F57" s="29"/>
      <c r="H57" s="33" t="s">
        <v>63</v>
      </c>
      <c r="I57" s="33">
        <v>4</v>
      </c>
      <c r="J57" s="33">
        <v>2</v>
      </c>
      <c r="K57" s="32" t="str">
        <f t="shared" si="0"/>
        <v>42</v>
      </c>
      <c r="L57" s="30"/>
      <c r="M57" s="30"/>
      <c r="P57"/>
      <c r="X57" s="173" t="s">
        <v>351</v>
      </c>
      <c r="Y57" s="110" t="s">
        <v>133</v>
      </c>
      <c r="Z57" s="120">
        <v>0.3</v>
      </c>
      <c r="AA57" s="120">
        <v>0.69899999999999995</v>
      </c>
      <c r="AC57" s="51"/>
      <c r="AD57" s="51"/>
      <c r="AE57" s="51"/>
      <c r="AF57" s="51"/>
    </row>
    <row r="58" spans="2:32" ht="14.4" x14ac:dyDescent="0.3">
      <c r="B58" s="27"/>
      <c r="C58" s="27"/>
      <c r="D58" s="27"/>
      <c r="E58" s="28" t="s">
        <v>305</v>
      </c>
      <c r="F58" s="29"/>
      <c r="H58" s="33" t="s">
        <v>63</v>
      </c>
      <c r="I58" s="33">
        <v>4</v>
      </c>
      <c r="J58" s="33">
        <v>2</v>
      </c>
      <c r="K58" s="32" t="str">
        <f t="shared" si="0"/>
        <v>42</v>
      </c>
      <c r="L58" s="30"/>
      <c r="M58" s="30"/>
      <c r="P58"/>
      <c r="X58" s="173" t="s">
        <v>352</v>
      </c>
      <c r="Y58" s="110" t="s">
        <v>132</v>
      </c>
      <c r="Z58" s="120">
        <v>0.1</v>
      </c>
      <c r="AA58" s="120">
        <v>0.29899999999999999</v>
      </c>
      <c r="AC58" s="51"/>
      <c r="AD58" s="51"/>
      <c r="AE58" s="51"/>
      <c r="AF58" s="51"/>
    </row>
    <row r="59" spans="2:32" ht="14.4" x14ac:dyDescent="0.3">
      <c r="B59" s="27"/>
      <c r="C59" s="27"/>
      <c r="D59" s="27"/>
      <c r="E59" s="28" t="s">
        <v>95</v>
      </c>
      <c r="F59" s="29"/>
      <c r="H59" s="33" t="s">
        <v>63</v>
      </c>
      <c r="I59" s="33">
        <v>4</v>
      </c>
      <c r="J59" s="33">
        <v>2</v>
      </c>
      <c r="K59" s="32" t="str">
        <f t="shared" si="0"/>
        <v>42</v>
      </c>
      <c r="L59" s="30"/>
      <c r="M59" s="30"/>
      <c r="P59"/>
      <c r="X59" s="173" t="s">
        <v>353</v>
      </c>
      <c r="Y59" s="110" t="s">
        <v>14</v>
      </c>
      <c r="Z59" s="120">
        <v>0.05</v>
      </c>
      <c r="AA59" s="120">
        <v>9.9000000000000005E-2</v>
      </c>
      <c r="AC59" s="51"/>
      <c r="AD59" s="51"/>
      <c r="AE59" s="51"/>
      <c r="AF59" s="51"/>
    </row>
    <row r="60" spans="2:32" ht="14.4" x14ac:dyDescent="0.3">
      <c r="B60" s="27"/>
      <c r="C60" s="27"/>
      <c r="D60" s="27"/>
      <c r="E60" s="28" t="s">
        <v>96</v>
      </c>
      <c r="F60" s="29"/>
      <c r="H60" s="33" t="s">
        <v>63</v>
      </c>
      <c r="I60" s="33">
        <v>4</v>
      </c>
      <c r="J60" s="33">
        <v>2</v>
      </c>
      <c r="K60" s="32" t="str">
        <f t="shared" si="0"/>
        <v>42</v>
      </c>
      <c r="L60" s="30"/>
      <c r="M60" s="30"/>
      <c r="P60"/>
      <c r="X60" s="173" t="s">
        <v>354</v>
      </c>
      <c r="Y60" s="110" t="s">
        <v>8</v>
      </c>
      <c r="Z60" s="120">
        <v>0</v>
      </c>
      <c r="AA60" s="120">
        <v>4.9000000000000002E-2</v>
      </c>
      <c r="AC60" s="51"/>
      <c r="AD60" s="51"/>
      <c r="AE60" s="51"/>
      <c r="AF60" s="51"/>
    </row>
    <row r="61" spans="2:32" ht="13.5" customHeight="1" x14ac:dyDescent="0.3">
      <c r="B61" s="27"/>
      <c r="C61" s="27"/>
      <c r="D61" s="27"/>
      <c r="E61" s="28" t="s">
        <v>97</v>
      </c>
      <c r="F61" s="29"/>
      <c r="H61" s="33" t="s">
        <v>63</v>
      </c>
      <c r="I61" s="33">
        <v>4</v>
      </c>
      <c r="J61" s="33">
        <v>2</v>
      </c>
      <c r="K61" s="32" t="str">
        <f t="shared" si="0"/>
        <v>42</v>
      </c>
      <c r="L61" s="30"/>
      <c r="M61" s="30"/>
      <c r="P61"/>
    </row>
    <row r="62" spans="2:32" ht="14.4" x14ac:dyDescent="0.3">
      <c r="B62" s="27"/>
      <c r="C62" s="27"/>
      <c r="D62" s="27"/>
      <c r="E62" s="27"/>
      <c r="F62" s="27"/>
      <c r="H62" s="33" t="s">
        <v>63</v>
      </c>
      <c r="I62" s="33">
        <v>4</v>
      </c>
      <c r="J62" s="33">
        <v>2</v>
      </c>
      <c r="K62" s="32" t="str">
        <f t="shared" si="0"/>
        <v>42</v>
      </c>
      <c r="L62" s="30"/>
      <c r="M62" s="30"/>
      <c r="P62"/>
    </row>
    <row r="63" spans="2:32" ht="14.4" x14ac:dyDescent="0.3">
      <c r="B63" s="27"/>
      <c r="C63" s="27"/>
      <c r="D63" s="27"/>
      <c r="E63" s="27"/>
      <c r="F63" s="27"/>
      <c r="H63" s="33" t="s">
        <v>63</v>
      </c>
      <c r="I63" s="33">
        <v>4</v>
      </c>
      <c r="J63" s="33">
        <v>2</v>
      </c>
      <c r="K63" s="32" t="str">
        <f t="shared" si="0"/>
        <v>42</v>
      </c>
      <c r="L63" s="30"/>
      <c r="M63" s="30"/>
      <c r="P63"/>
    </row>
    <row r="64" spans="2:32" ht="14.4" x14ac:dyDescent="0.3">
      <c r="B64" s="27"/>
      <c r="C64" s="27"/>
      <c r="D64" s="27"/>
      <c r="E64" s="27"/>
      <c r="F64" s="27"/>
      <c r="H64" s="33" t="s">
        <v>63</v>
      </c>
      <c r="I64" s="33">
        <v>4</v>
      </c>
      <c r="J64" s="33">
        <v>2</v>
      </c>
      <c r="K64" s="32" t="str">
        <f t="shared" si="0"/>
        <v>42</v>
      </c>
      <c r="L64" s="30"/>
      <c r="M64" s="30"/>
      <c r="P64"/>
    </row>
    <row r="65" spans="2:16" ht="14.4" x14ac:dyDescent="0.3">
      <c r="B65" s="27"/>
      <c r="C65" s="27"/>
      <c r="D65" s="27"/>
      <c r="E65" s="27"/>
      <c r="F65" s="27"/>
      <c r="H65" s="33" t="s">
        <v>63</v>
      </c>
      <c r="I65" s="33">
        <v>4</v>
      </c>
      <c r="J65" s="33">
        <v>3</v>
      </c>
      <c r="K65" s="32" t="str">
        <f t="shared" si="0"/>
        <v>43</v>
      </c>
      <c r="L65" s="30"/>
      <c r="M65" s="30"/>
      <c r="P65"/>
    </row>
    <row r="66" spans="2:16" ht="14.4" x14ac:dyDescent="0.3">
      <c r="B66" s="27"/>
      <c r="C66" s="27"/>
      <c r="D66" s="27"/>
      <c r="E66" s="27"/>
      <c r="F66" s="27"/>
      <c r="H66" s="33" t="s">
        <v>63</v>
      </c>
      <c r="I66" s="33">
        <v>4</v>
      </c>
      <c r="J66" s="33">
        <v>3</v>
      </c>
      <c r="K66" s="32" t="str">
        <f t="shared" si="0"/>
        <v>43</v>
      </c>
      <c r="L66" s="30"/>
      <c r="M66" s="30"/>
      <c r="P66"/>
    </row>
    <row r="67" spans="2:16" x14ac:dyDescent="0.3">
      <c r="B67" s="27"/>
      <c r="C67" s="27"/>
      <c r="D67" s="27"/>
      <c r="E67" s="27"/>
      <c r="F67" s="27"/>
      <c r="H67" s="33" t="s">
        <v>63</v>
      </c>
      <c r="I67" s="33">
        <v>4</v>
      </c>
      <c r="J67" s="33">
        <v>3</v>
      </c>
      <c r="K67" s="32" t="str">
        <f t="shared" si="0"/>
        <v>43</v>
      </c>
      <c r="L67" s="30"/>
      <c r="M67" s="30"/>
    </row>
    <row r="68" spans="2:16" x14ac:dyDescent="0.3">
      <c r="B68" s="27"/>
      <c r="C68" s="27"/>
      <c r="D68" s="27"/>
      <c r="E68" s="27"/>
      <c r="F68" s="27"/>
      <c r="H68" s="33" t="s">
        <v>63</v>
      </c>
      <c r="I68" s="33">
        <v>4</v>
      </c>
      <c r="J68" s="33">
        <v>3</v>
      </c>
      <c r="K68" s="32" t="str">
        <f t="shared" ref="K68:K131" si="6">CONCATENATE(I68,J68)</f>
        <v>43</v>
      </c>
      <c r="L68" s="30"/>
      <c r="M68" s="30"/>
    </row>
    <row r="69" spans="2:16" x14ac:dyDescent="0.3">
      <c r="B69" s="27"/>
      <c r="C69" s="27"/>
      <c r="D69" s="27"/>
      <c r="E69" s="27"/>
      <c r="F69" s="27"/>
      <c r="H69" s="33" t="s">
        <v>63</v>
      </c>
      <c r="I69" s="33">
        <v>4</v>
      </c>
      <c r="J69" s="33">
        <v>3</v>
      </c>
      <c r="K69" s="32" t="str">
        <f t="shared" si="6"/>
        <v>43</v>
      </c>
      <c r="L69" s="30"/>
      <c r="M69" s="30"/>
    </row>
    <row r="70" spans="2:16" x14ac:dyDescent="0.3">
      <c r="B70" s="27"/>
      <c r="C70" s="27"/>
      <c r="D70" s="27"/>
      <c r="E70" s="27"/>
      <c r="F70" s="27"/>
      <c r="H70" s="33" t="s">
        <v>63</v>
      </c>
      <c r="I70" s="33">
        <v>4</v>
      </c>
      <c r="J70" s="33">
        <v>4</v>
      </c>
      <c r="K70" s="32" t="str">
        <f t="shared" si="6"/>
        <v>44</v>
      </c>
      <c r="L70" s="30"/>
      <c r="M70" s="30"/>
    </row>
    <row r="71" spans="2:16" x14ac:dyDescent="0.3">
      <c r="B71" s="27"/>
      <c r="C71" s="27"/>
      <c r="D71" s="27"/>
      <c r="E71" s="27"/>
      <c r="F71" s="27"/>
      <c r="H71" s="33" t="s">
        <v>63</v>
      </c>
      <c r="I71" s="33">
        <v>4</v>
      </c>
      <c r="J71" s="33">
        <v>4</v>
      </c>
      <c r="K71" s="32" t="str">
        <f t="shared" si="6"/>
        <v>44</v>
      </c>
      <c r="L71" s="30"/>
      <c r="M71" s="30"/>
    </row>
    <row r="72" spans="2:16" x14ac:dyDescent="0.3">
      <c r="B72" s="27"/>
      <c r="C72" s="27"/>
      <c r="D72" s="27"/>
      <c r="E72" s="27"/>
      <c r="F72" s="27"/>
      <c r="H72" s="33" t="s">
        <v>63</v>
      </c>
      <c r="I72" s="33">
        <v>4</v>
      </c>
      <c r="J72" s="33">
        <v>5</v>
      </c>
      <c r="K72" s="32" t="str">
        <f t="shared" si="6"/>
        <v>45</v>
      </c>
      <c r="L72" s="30"/>
      <c r="M72" s="30"/>
    </row>
    <row r="73" spans="2:16" x14ac:dyDescent="0.3">
      <c r="B73" s="27"/>
      <c r="C73" s="27"/>
      <c r="D73" s="27"/>
      <c r="E73" s="27"/>
      <c r="F73" s="27"/>
      <c r="H73" s="33" t="s">
        <v>63</v>
      </c>
      <c r="I73" s="33">
        <v>5</v>
      </c>
      <c r="J73" s="33">
        <v>1</v>
      </c>
      <c r="K73" s="32" t="str">
        <f t="shared" si="6"/>
        <v>51</v>
      </c>
      <c r="L73" s="30"/>
      <c r="M73" s="30"/>
    </row>
    <row r="74" spans="2:16" x14ac:dyDescent="0.3">
      <c r="B74" s="27"/>
      <c r="C74" s="27"/>
      <c r="D74" s="27"/>
      <c r="E74" s="27"/>
      <c r="F74" s="27"/>
      <c r="H74" s="33" t="s">
        <v>63</v>
      </c>
      <c r="I74" s="33">
        <v>5</v>
      </c>
      <c r="J74" s="33">
        <v>1</v>
      </c>
      <c r="K74" s="32" t="str">
        <f t="shared" si="6"/>
        <v>51</v>
      </c>
      <c r="L74" s="30"/>
      <c r="M74" s="30"/>
    </row>
    <row r="75" spans="2:16" x14ac:dyDescent="0.3">
      <c r="B75" s="27"/>
      <c r="C75" s="27"/>
      <c r="D75" s="27"/>
      <c r="E75" s="27"/>
      <c r="F75" s="27"/>
      <c r="H75" s="33" t="s">
        <v>63</v>
      </c>
      <c r="I75" s="33">
        <v>5</v>
      </c>
      <c r="J75" s="33">
        <v>1</v>
      </c>
      <c r="K75" s="32" t="str">
        <f t="shared" si="6"/>
        <v>51</v>
      </c>
      <c r="L75" s="30"/>
      <c r="M75" s="30"/>
    </row>
    <row r="76" spans="2:16" x14ac:dyDescent="0.3">
      <c r="B76" s="27"/>
      <c r="C76" s="27"/>
      <c r="D76" s="27"/>
      <c r="E76" s="27"/>
      <c r="F76" s="27"/>
      <c r="H76" s="33" t="s">
        <v>63</v>
      </c>
      <c r="I76" s="33">
        <v>5</v>
      </c>
      <c r="J76" s="33">
        <v>1</v>
      </c>
      <c r="K76" s="32" t="str">
        <f t="shared" si="6"/>
        <v>51</v>
      </c>
      <c r="L76" s="30"/>
      <c r="M76" s="30"/>
    </row>
    <row r="77" spans="2:16" x14ac:dyDescent="0.3">
      <c r="B77" s="27"/>
      <c r="C77" s="27"/>
      <c r="D77" s="27"/>
      <c r="E77" s="27"/>
      <c r="F77" s="27"/>
      <c r="H77" s="33" t="s">
        <v>63</v>
      </c>
      <c r="I77" s="33">
        <v>5</v>
      </c>
      <c r="J77" s="33">
        <v>1</v>
      </c>
      <c r="K77" s="32" t="str">
        <f t="shared" si="6"/>
        <v>51</v>
      </c>
      <c r="L77" s="30"/>
      <c r="M77" s="30"/>
    </row>
    <row r="78" spans="2:16" x14ac:dyDescent="0.3">
      <c r="B78" s="27"/>
      <c r="C78" s="27"/>
      <c r="D78" s="27"/>
      <c r="E78" s="27"/>
      <c r="F78" s="27"/>
      <c r="H78" s="33" t="s">
        <v>63</v>
      </c>
      <c r="I78" s="33">
        <v>5</v>
      </c>
      <c r="J78" s="33">
        <v>2</v>
      </c>
      <c r="K78" s="32" t="str">
        <f t="shared" si="6"/>
        <v>52</v>
      </c>
      <c r="L78" s="30"/>
      <c r="M78" s="30"/>
    </row>
    <row r="79" spans="2:16" x14ac:dyDescent="0.3">
      <c r="B79" s="27"/>
      <c r="C79" s="27"/>
      <c r="D79" s="27"/>
      <c r="E79" s="27"/>
      <c r="F79" s="27"/>
      <c r="H79" s="33" t="s">
        <v>63</v>
      </c>
      <c r="I79" s="33">
        <v>5</v>
      </c>
      <c r="J79" s="33">
        <v>2</v>
      </c>
      <c r="K79" s="32" t="str">
        <f t="shared" si="6"/>
        <v>52</v>
      </c>
      <c r="L79" s="30"/>
      <c r="M79" s="30"/>
    </row>
    <row r="80" spans="2:16" x14ac:dyDescent="0.3">
      <c r="B80" s="27"/>
      <c r="C80" s="27"/>
      <c r="D80" s="27"/>
      <c r="E80" s="27"/>
      <c r="F80" s="27"/>
      <c r="H80" s="33" t="s">
        <v>63</v>
      </c>
      <c r="I80" s="33">
        <v>5</v>
      </c>
      <c r="J80" s="33">
        <v>2</v>
      </c>
      <c r="K80" s="32" t="str">
        <f t="shared" si="6"/>
        <v>52</v>
      </c>
      <c r="L80" s="30"/>
      <c r="M80" s="30"/>
    </row>
    <row r="81" spans="2:13" x14ac:dyDescent="0.3">
      <c r="B81" s="27"/>
      <c r="C81" s="27"/>
      <c r="D81" s="27"/>
      <c r="E81" s="27"/>
      <c r="F81" s="27"/>
      <c r="H81" s="33" t="s">
        <v>63</v>
      </c>
      <c r="I81" s="33">
        <v>5</v>
      </c>
      <c r="J81" s="33">
        <v>2</v>
      </c>
      <c r="K81" s="32" t="str">
        <f t="shared" si="6"/>
        <v>52</v>
      </c>
      <c r="L81" s="30"/>
      <c r="M81" s="30"/>
    </row>
    <row r="82" spans="2:13" x14ac:dyDescent="0.3">
      <c r="B82" s="27"/>
      <c r="C82" s="27"/>
      <c r="D82" s="27"/>
      <c r="E82" s="27"/>
      <c r="F82" s="27"/>
      <c r="H82" s="33" t="s">
        <v>63</v>
      </c>
      <c r="I82" s="33">
        <v>5</v>
      </c>
      <c r="J82" s="33">
        <v>3</v>
      </c>
      <c r="K82" s="32" t="str">
        <f t="shared" si="6"/>
        <v>53</v>
      </c>
      <c r="L82" s="30"/>
      <c r="M82" s="30"/>
    </row>
    <row r="83" spans="2:13" x14ac:dyDescent="0.3">
      <c r="B83" s="27"/>
      <c r="C83" s="27"/>
      <c r="D83" s="27"/>
      <c r="E83" s="27"/>
      <c r="F83" s="27"/>
      <c r="H83" s="33" t="s">
        <v>63</v>
      </c>
      <c r="I83" s="33">
        <v>5</v>
      </c>
      <c r="J83" s="33">
        <v>3</v>
      </c>
      <c r="K83" s="32" t="str">
        <f t="shared" si="6"/>
        <v>53</v>
      </c>
      <c r="L83" s="30"/>
      <c r="M83" s="30"/>
    </row>
    <row r="84" spans="2:13" x14ac:dyDescent="0.3">
      <c r="B84" s="27"/>
      <c r="C84" s="27"/>
      <c r="D84" s="27"/>
      <c r="E84" s="27"/>
      <c r="F84" s="27"/>
      <c r="H84" s="33" t="s">
        <v>63</v>
      </c>
      <c r="I84" s="33">
        <v>5</v>
      </c>
      <c r="J84" s="33">
        <v>4</v>
      </c>
      <c r="K84" s="32" t="str">
        <f t="shared" si="6"/>
        <v>54</v>
      </c>
      <c r="L84" s="30"/>
      <c r="M84" s="30"/>
    </row>
    <row r="85" spans="2:13" x14ac:dyDescent="0.3">
      <c r="B85" s="27"/>
      <c r="C85" s="27"/>
      <c r="D85" s="27"/>
      <c r="E85" s="27"/>
      <c r="F85" s="27"/>
      <c r="H85" s="34" t="s">
        <v>71</v>
      </c>
      <c r="I85" s="34">
        <v>1</v>
      </c>
      <c r="J85" s="34">
        <v>1</v>
      </c>
      <c r="K85" s="32" t="str">
        <f t="shared" si="6"/>
        <v>11</v>
      </c>
      <c r="L85" s="30"/>
      <c r="M85" s="30"/>
    </row>
    <row r="86" spans="2:13" x14ac:dyDescent="0.3">
      <c r="B86" s="27"/>
      <c r="C86" s="27"/>
      <c r="D86" s="27"/>
      <c r="E86" s="27"/>
      <c r="F86" s="27"/>
      <c r="H86" s="34" t="s">
        <v>71</v>
      </c>
      <c r="I86" s="34">
        <v>1</v>
      </c>
      <c r="J86" s="34">
        <v>1</v>
      </c>
      <c r="K86" s="32" t="str">
        <f t="shared" si="6"/>
        <v>11</v>
      </c>
      <c r="L86" s="30"/>
      <c r="M86" s="30"/>
    </row>
    <row r="87" spans="2:13" x14ac:dyDescent="0.3">
      <c r="B87" s="27"/>
      <c r="C87" s="27"/>
      <c r="D87" s="27"/>
      <c r="E87" s="27"/>
      <c r="F87" s="27"/>
      <c r="H87" s="34" t="s">
        <v>71</v>
      </c>
      <c r="I87" s="34">
        <v>1</v>
      </c>
      <c r="J87" s="34">
        <v>1</v>
      </c>
      <c r="K87" s="32" t="str">
        <f t="shared" si="6"/>
        <v>11</v>
      </c>
      <c r="L87" s="30"/>
      <c r="M87" s="30"/>
    </row>
    <row r="88" spans="2:13" x14ac:dyDescent="0.3">
      <c r="B88" s="27"/>
      <c r="C88" s="27"/>
      <c r="D88" s="27"/>
      <c r="E88" s="27"/>
      <c r="F88" s="27"/>
      <c r="H88" s="34" t="s">
        <v>71</v>
      </c>
      <c r="I88" s="34">
        <v>1</v>
      </c>
      <c r="J88" s="34">
        <v>1</v>
      </c>
      <c r="K88" s="32" t="str">
        <f t="shared" si="6"/>
        <v>11</v>
      </c>
      <c r="L88" s="30"/>
      <c r="M88" s="30"/>
    </row>
    <row r="89" spans="2:13" x14ac:dyDescent="0.3">
      <c r="B89" s="27"/>
      <c r="C89" s="27"/>
      <c r="D89" s="27"/>
      <c r="F89" s="29"/>
      <c r="H89" s="34" t="s">
        <v>71</v>
      </c>
      <c r="I89" s="34">
        <v>1</v>
      </c>
      <c r="J89" s="34">
        <v>1</v>
      </c>
      <c r="K89" s="32" t="str">
        <f t="shared" si="6"/>
        <v>11</v>
      </c>
      <c r="L89" s="30"/>
      <c r="M89" s="30"/>
    </row>
    <row r="90" spans="2:13" x14ac:dyDescent="0.3">
      <c r="B90" s="27"/>
      <c r="C90" s="27"/>
      <c r="D90" s="27"/>
      <c r="F90" s="29"/>
      <c r="H90" s="34" t="s">
        <v>71</v>
      </c>
      <c r="I90" s="34">
        <v>1</v>
      </c>
      <c r="J90" s="34">
        <v>2</v>
      </c>
      <c r="K90" s="32" t="str">
        <f t="shared" si="6"/>
        <v>12</v>
      </c>
      <c r="L90" s="30"/>
      <c r="M90" s="30"/>
    </row>
    <row r="91" spans="2:13" x14ac:dyDescent="0.3">
      <c r="B91" s="27"/>
      <c r="C91" s="27"/>
      <c r="D91" s="27"/>
      <c r="F91" s="29"/>
      <c r="H91" s="34" t="s">
        <v>71</v>
      </c>
      <c r="I91" s="34">
        <v>1</v>
      </c>
      <c r="J91" s="34">
        <v>3</v>
      </c>
      <c r="K91" s="32" t="str">
        <f t="shared" si="6"/>
        <v>13</v>
      </c>
      <c r="L91" s="30"/>
      <c r="M91" s="30"/>
    </row>
    <row r="92" spans="2:13" x14ac:dyDescent="0.3">
      <c r="B92" s="27"/>
      <c r="C92" s="27"/>
      <c r="D92" s="27"/>
      <c r="F92" s="29"/>
      <c r="H92" s="34" t="s">
        <v>71</v>
      </c>
      <c r="I92" s="34">
        <v>1</v>
      </c>
      <c r="J92" s="34">
        <v>4</v>
      </c>
      <c r="K92" s="32" t="str">
        <f t="shared" si="6"/>
        <v>14</v>
      </c>
      <c r="L92" s="30"/>
      <c r="M92" s="30"/>
    </row>
    <row r="93" spans="2:13" x14ac:dyDescent="0.3">
      <c r="B93" s="27"/>
      <c r="C93" s="27"/>
      <c r="D93" s="27"/>
      <c r="F93" s="29"/>
      <c r="H93" s="34" t="s">
        <v>71</v>
      </c>
      <c r="I93" s="34">
        <v>1</v>
      </c>
      <c r="J93" s="34">
        <v>4</v>
      </c>
      <c r="K93" s="32" t="str">
        <f t="shared" si="6"/>
        <v>14</v>
      </c>
      <c r="L93" s="30"/>
      <c r="M93" s="30"/>
    </row>
    <row r="94" spans="2:13" x14ac:dyDescent="0.3">
      <c r="B94" s="27"/>
      <c r="C94" s="27"/>
      <c r="D94" s="27"/>
      <c r="F94" s="29"/>
      <c r="H94" s="34" t="s">
        <v>71</v>
      </c>
      <c r="I94" s="34">
        <v>1</v>
      </c>
      <c r="J94" s="34">
        <v>5</v>
      </c>
      <c r="K94" s="32" t="str">
        <f t="shared" si="6"/>
        <v>15</v>
      </c>
      <c r="L94" s="30"/>
      <c r="M94" s="30"/>
    </row>
    <row r="95" spans="2:13" x14ac:dyDescent="0.3">
      <c r="B95" s="27"/>
      <c r="C95" s="27"/>
      <c r="D95" s="27"/>
      <c r="F95" s="29"/>
      <c r="H95" s="34" t="s">
        <v>71</v>
      </c>
      <c r="I95" s="34">
        <v>1</v>
      </c>
      <c r="J95" s="34">
        <v>5</v>
      </c>
      <c r="K95" s="32" t="str">
        <f t="shared" si="6"/>
        <v>15</v>
      </c>
      <c r="L95" s="30"/>
      <c r="M95" s="30"/>
    </row>
    <row r="96" spans="2:13" x14ac:dyDescent="0.3">
      <c r="B96" s="27"/>
      <c r="C96" s="27"/>
      <c r="D96" s="27"/>
      <c r="F96" s="29"/>
      <c r="H96" s="34" t="s">
        <v>71</v>
      </c>
      <c r="I96" s="34">
        <v>1</v>
      </c>
      <c r="J96" s="34">
        <v>6</v>
      </c>
      <c r="K96" s="32" t="str">
        <f t="shared" si="6"/>
        <v>16</v>
      </c>
      <c r="L96" s="30"/>
      <c r="M96" s="30"/>
    </row>
    <row r="97" spans="2:13" x14ac:dyDescent="0.3">
      <c r="B97" s="27"/>
      <c r="C97" s="27"/>
      <c r="D97" s="27"/>
      <c r="F97" s="29"/>
      <c r="H97" s="34" t="s">
        <v>71</v>
      </c>
      <c r="I97" s="34">
        <v>1</v>
      </c>
      <c r="J97" s="34">
        <v>6</v>
      </c>
      <c r="K97" s="32" t="str">
        <f t="shared" si="6"/>
        <v>16</v>
      </c>
      <c r="L97" s="30"/>
      <c r="M97" s="30"/>
    </row>
    <row r="98" spans="2:13" x14ac:dyDescent="0.3">
      <c r="B98" s="27"/>
      <c r="C98" s="27"/>
      <c r="D98" s="27"/>
      <c r="F98" s="29"/>
      <c r="H98" s="34" t="s">
        <v>71</v>
      </c>
      <c r="I98" s="34">
        <v>1</v>
      </c>
      <c r="J98" s="34">
        <v>6</v>
      </c>
      <c r="K98" s="32" t="str">
        <f t="shared" si="6"/>
        <v>16</v>
      </c>
      <c r="L98" s="30"/>
      <c r="M98" s="30"/>
    </row>
    <row r="99" spans="2:13" x14ac:dyDescent="0.3">
      <c r="B99" s="27"/>
      <c r="C99" s="27"/>
      <c r="D99" s="27"/>
      <c r="F99" s="29"/>
      <c r="H99" s="34" t="s">
        <v>71</v>
      </c>
      <c r="I99" s="34">
        <v>1</v>
      </c>
      <c r="J99" s="34">
        <v>7</v>
      </c>
      <c r="K99" s="32" t="str">
        <f t="shared" si="6"/>
        <v>17</v>
      </c>
      <c r="L99" s="30"/>
      <c r="M99" s="30"/>
    </row>
    <row r="100" spans="2:13" x14ac:dyDescent="0.3">
      <c r="B100" s="27"/>
      <c r="C100" s="27"/>
      <c r="D100" s="27"/>
      <c r="F100" s="29"/>
      <c r="H100" s="34" t="s">
        <v>71</v>
      </c>
      <c r="I100" s="34">
        <v>1</v>
      </c>
      <c r="J100" s="34">
        <v>7</v>
      </c>
      <c r="K100" s="32" t="str">
        <f t="shared" si="6"/>
        <v>17</v>
      </c>
      <c r="L100" s="30"/>
      <c r="M100" s="30"/>
    </row>
    <row r="101" spans="2:13" x14ac:dyDescent="0.3">
      <c r="B101" s="27"/>
      <c r="C101" s="27"/>
      <c r="D101" s="27"/>
      <c r="F101" s="29"/>
      <c r="H101" s="34" t="s">
        <v>71</v>
      </c>
      <c r="I101" s="34">
        <v>1</v>
      </c>
      <c r="J101" s="34">
        <v>8</v>
      </c>
      <c r="K101" s="32" t="str">
        <f t="shared" si="6"/>
        <v>18</v>
      </c>
      <c r="L101" s="30"/>
      <c r="M101" s="30"/>
    </row>
    <row r="102" spans="2:13" x14ac:dyDescent="0.3">
      <c r="B102" s="27"/>
      <c r="C102" s="30"/>
      <c r="D102" s="30"/>
      <c r="F102" s="29"/>
      <c r="H102" s="34" t="s">
        <v>71</v>
      </c>
      <c r="I102" s="34">
        <v>2</v>
      </c>
      <c r="J102" s="34">
        <v>1</v>
      </c>
      <c r="K102" s="32" t="str">
        <f t="shared" si="6"/>
        <v>21</v>
      </c>
      <c r="L102" s="30"/>
      <c r="M102" s="30"/>
    </row>
    <row r="103" spans="2:13" x14ac:dyDescent="0.3">
      <c r="B103" s="27"/>
      <c r="C103" s="30"/>
      <c r="D103" s="30"/>
      <c r="F103" s="29"/>
      <c r="H103" s="34" t="s">
        <v>71</v>
      </c>
      <c r="I103" s="34">
        <v>2</v>
      </c>
      <c r="J103" s="34">
        <v>2</v>
      </c>
      <c r="K103" s="32" t="str">
        <f t="shared" si="6"/>
        <v>22</v>
      </c>
      <c r="L103" s="30"/>
      <c r="M103" s="30"/>
    </row>
    <row r="104" spans="2:13" x14ac:dyDescent="0.3">
      <c r="B104" s="27"/>
      <c r="C104" s="30"/>
      <c r="D104" s="30"/>
      <c r="F104" s="29"/>
      <c r="H104" s="34" t="s">
        <v>71</v>
      </c>
      <c r="I104" s="34">
        <v>2</v>
      </c>
      <c r="J104" s="34">
        <v>2</v>
      </c>
      <c r="K104" s="32" t="str">
        <f t="shared" si="6"/>
        <v>22</v>
      </c>
      <c r="L104" s="30"/>
      <c r="M104" s="30"/>
    </row>
    <row r="105" spans="2:13" x14ac:dyDescent="0.3">
      <c r="B105" s="27"/>
      <c r="C105" s="30"/>
      <c r="D105" s="30"/>
      <c r="F105" s="29"/>
      <c r="H105" s="34" t="s">
        <v>71</v>
      </c>
      <c r="I105" s="34">
        <v>2</v>
      </c>
      <c r="J105" s="34">
        <v>3</v>
      </c>
      <c r="K105" s="32" t="str">
        <f t="shared" si="6"/>
        <v>23</v>
      </c>
      <c r="L105" s="30"/>
      <c r="M105" s="30"/>
    </row>
    <row r="106" spans="2:13" x14ac:dyDescent="0.3">
      <c r="B106" s="27"/>
      <c r="C106" s="30"/>
      <c r="D106" s="30"/>
      <c r="F106" s="29"/>
      <c r="H106" s="34" t="s">
        <v>71</v>
      </c>
      <c r="I106" s="34">
        <v>2</v>
      </c>
      <c r="J106" s="34">
        <v>3</v>
      </c>
      <c r="K106" s="32" t="str">
        <f t="shared" si="6"/>
        <v>23</v>
      </c>
      <c r="L106" s="30"/>
      <c r="M106" s="30"/>
    </row>
    <row r="107" spans="2:13" x14ac:dyDescent="0.3">
      <c r="B107" s="27"/>
      <c r="C107" s="30"/>
      <c r="D107" s="30"/>
      <c r="F107" s="29"/>
      <c r="H107" s="34" t="s">
        <v>71</v>
      </c>
      <c r="I107" s="34">
        <v>2</v>
      </c>
      <c r="J107" s="34">
        <v>4</v>
      </c>
      <c r="K107" s="32" t="str">
        <f t="shared" si="6"/>
        <v>24</v>
      </c>
      <c r="L107" s="30"/>
      <c r="M107" s="30"/>
    </row>
    <row r="108" spans="2:13" x14ac:dyDescent="0.3">
      <c r="B108" s="27"/>
      <c r="C108" s="30"/>
      <c r="D108" s="30"/>
      <c r="F108" s="29"/>
      <c r="H108" s="34" t="s">
        <v>71</v>
      </c>
      <c r="I108" s="34">
        <v>2</v>
      </c>
      <c r="J108" s="34">
        <v>4</v>
      </c>
      <c r="K108" s="32" t="str">
        <f t="shared" si="6"/>
        <v>24</v>
      </c>
      <c r="L108" s="30"/>
      <c r="M108" s="30"/>
    </row>
    <row r="109" spans="2:13" x14ac:dyDescent="0.3">
      <c r="B109" s="27"/>
      <c r="C109" s="30"/>
      <c r="D109" s="30"/>
      <c r="F109" s="29"/>
      <c r="H109" s="34" t="s">
        <v>71</v>
      </c>
      <c r="I109" s="34">
        <v>2</v>
      </c>
      <c r="J109" s="34">
        <v>4</v>
      </c>
      <c r="K109" s="32" t="str">
        <f t="shared" si="6"/>
        <v>24</v>
      </c>
      <c r="L109" s="30"/>
      <c r="M109" s="30"/>
    </row>
    <row r="110" spans="2:13" x14ac:dyDescent="0.3">
      <c r="B110" s="27"/>
      <c r="C110" s="30"/>
      <c r="D110" s="30"/>
      <c r="F110" s="29"/>
      <c r="H110" s="34" t="s">
        <v>71</v>
      </c>
      <c r="I110" s="34">
        <v>2</v>
      </c>
      <c r="J110" s="34">
        <v>5</v>
      </c>
      <c r="K110" s="32" t="str">
        <f t="shared" si="6"/>
        <v>25</v>
      </c>
      <c r="L110" s="30"/>
      <c r="M110" s="30"/>
    </row>
    <row r="111" spans="2:13" x14ac:dyDescent="0.3">
      <c r="B111" s="27"/>
      <c r="C111" s="30"/>
      <c r="D111" s="30"/>
      <c r="F111" s="29"/>
      <c r="H111" s="34" t="s">
        <v>71</v>
      </c>
      <c r="I111" s="34">
        <v>3</v>
      </c>
      <c r="J111" s="34">
        <v>1</v>
      </c>
      <c r="K111" s="32" t="str">
        <f t="shared" si="6"/>
        <v>31</v>
      </c>
      <c r="L111" s="30"/>
      <c r="M111" s="30"/>
    </row>
    <row r="112" spans="2:13" x14ac:dyDescent="0.3">
      <c r="B112" s="27"/>
      <c r="C112" s="30"/>
      <c r="D112" s="30"/>
      <c r="F112" s="29"/>
      <c r="H112" s="34" t="s">
        <v>71</v>
      </c>
      <c r="I112" s="34">
        <v>3</v>
      </c>
      <c r="J112" s="34">
        <v>1</v>
      </c>
      <c r="K112" s="32" t="str">
        <f t="shared" si="6"/>
        <v>31</v>
      </c>
      <c r="L112" s="30"/>
      <c r="M112" s="30"/>
    </row>
    <row r="113" spans="2:13" x14ac:dyDescent="0.3">
      <c r="B113" s="27"/>
      <c r="C113" s="30"/>
      <c r="D113" s="30"/>
      <c r="F113" s="29"/>
      <c r="H113" s="34" t="s">
        <v>71</v>
      </c>
      <c r="I113" s="34">
        <v>3</v>
      </c>
      <c r="J113" s="34">
        <v>1</v>
      </c>
      <c r="K113" s="32" t="str">
        <f t="shared" si="6"/>
        <v>31</v>
      </c>
      <c r="L113" s="30"/>
      <c r="M113" s="30"/>
    </row>
    <row r="114" spans="2:13" x14ac:dyDescent="0.3">
      <c r="B114" s="27"/>
      <c r="C114" s="30"/>
      <c r="D114" s="30"/>
      <c r="F114" s="29"/>
      <c r="H114" s="34" t="s">
        <v>71</v>
      </c>
      <c r="I114" s="34">
        <v>3</v>
      </c>
      <c r="J114" s="34">
        <v>2</v>
      </c>
      <c r="K114" s="32" t="str">
        <f t="shared" si="6"/>
        <v>32</v>
      </c>
      <c r="L114" s="30"/>
      <c r="M114" s="30"/>
    </row>
    <row r="115" spans="2:13" x14ac:dyDescent="0.3">
      <c r="B115" s="27"/>
      <c r="C115" s="30"/>
      <c r="D115" s="30"/>
      <c r="F115" s="29"/>
      <c r="H115" s="34" t="s">
        <v>71</v>
      </c>
      <c r="I115" s="34">
        <v>3</v>
      </c>
      <c r="J115" s="34">
        <v>2</v>
      </c>
      <c r="K115" s="32" t="str">
        <f t="shared" si="6"/>
        <v>32</v>
      </c>
      <c r="L115" s="30"/>
      <c r="M115" s="30"/>
    </row>
    <row r="116" spans="2:13" x14ac:dyDescent="0.3">
      <c r="B116" s="27"/>
      <c r="C116" s="30"/>
      <c r="D116" s="30"/>
      <c r="F116" s="29"/>
      <c r="H116" s="34" t="s">
        <v>71</v>
      </c>
      <c r="I116" s="34">
        <v>3</v>
      </c>
      <c r="J116" s="34">
        <v>2</v>
      </c>
      <c r="K116" s="32" t="str">
        <f t="shared" si="6"/>
        <v>32</v>
      </c>
      <c r="L116" s="30"/>
      <c r="M116" s="30"/>
    </row>
    <row r="117" spans="2:13" x14ac:dyDescent="0.3">
      <c r="B117" s="27"/>
      <c r="C117" s="30"/>
      <c r="D117" s="30"/>
      <c r="F117" s="29"/>
      <c r="H117" s="34" t="s">
        <v>71</v>
      </c>
      <c r="I117" s="34">
        <v>3</v>
      </c>
      <c r="J117" s="34">
        <v>2</v>
      </c>
      <c r="K117" s="32" t="str">
        <f t="shared" si="6"/>
        <v>32</v>
      </c>
      <c r="L117" s="30"/>
      <c r="M117" s="30"/>
    </row>
    <row r="118" spans="2:13" x14ac:dyDescent="0.3">
      <c r="B118" s="27"/>
      <c r="C118" s="30"/>
      <c r="D118" s="30"/>
      <c r="F118" s="29"/>
      <c r="H118" s="34" t="s">
        <v>71</v>
      </c>
      <c r="I118" s="34">
        <v>3</v>
      </c>
      <c r="J118" s="34">
        <v>2</v>
      </c>
      <c r="K118" s="32" t="str">
        <f t="shared" si="6"/>
        <v>32</v>
      </c>
      <c r="L118" s="30"/>
      <c r="M118" s="30"/>
    </row>
    <row r="119" spans="2:13" x14ac:dyDescent="0.3">
      <c r="B119" s="27"/>
      <c r="C119" s="30"/>
      <c r="D119" s="30"/>
      <c r="F119" s="29"/>
      <c r="H119" s="34" t="s">
        <v>71</v>
      </c>
      <c r="I119" s="34">
        <v>3</v>
      </c>
      <c r="J119" s="34">
        <v>2</v>
      </c>
      <c r="K119" s="32" t="str">
        <f t="shared" si="6"/>
        <v>32</v>
      </c>
      <c r="L119" s="30"/>
      <c r="M119" s="30"/>
    </row>
    <row r="120" spans="2:13" x14ac:dyDescent="0.3">
      <c r="B120" s="27"/>
      <c r="C120" s="30"/>
      <c r="D120" s="30"/>
      <c r="F120" s="29"/>
      <c r="H120" s="34" t="s">
        <v>71</v>
      </c>
      <c r="I120" s="34">
        <v>3</v>
      </c>
      <c r="J120" s="34">
        <v>2</v>
      </c>
      <c r="K120" s="32" t="str">
        <f t="shared" si="6"/>
        <v>32</v>
      </c>
      <c r="L120" s="30"/>
      <c r="M120" s="30"/>
    </row>
    <row r="121" spans="2:13" x14ac:dyDescent="0.3">
      <c r="B121" s="27"/>
      <c r="C121" s="30"/>
      <c r="D121" s="30"/>
      <c r="F121" s="29"/>
      <c r="H121" s="34" t="s">
        <v>71</v>
      </c>
      <c r="I121" s="34">
        <v>3</v>
      </c>
      <c r="J121" s="34">
        <v>2</v>
      </c>
      <c r="K121" s="32" t="str">
        <f t="shared" si="6"/>
        <v>32</v>
      </c>
      <c r="L121" s="30"/>
      <c r="M121" s="30"/>
    </row>
    <row r="122" spans="2:13" x14ac:dyDescent="0.3">
      <c r="B122" s="27"/>
      <c r="C122" s="30"/>
      <c r="D122" s="30"/>
      <c r="F122" s="29"/>
      <c r="H122" s="34" t="s">
        <v>71</v>
      </c>
      <c r="I122" s="34">
        <v>3</v>
      </c>
      <c r="J122" s="34">
        <v>2</v>
      </c>
      <c r="K122" s="32" t="str">
        <f t="shared" si="6"/>
        <v>32</v>
      </c>
      <c r="L122" s="30"/>
      <c r="M122" s="30"/>
    </row>
    <row r="123" spans="2:13" x14ac:dyDescent="0.3">
      <c r="B123" s="27"/>
      <c r="C123" s="30"/>
      <c r="D123" s="30"/>
      <c r="F123" s="29"/>
      <c r="H123" s="34" t="s">
        <v>71</v>
      </c>
      <c r="I123" s="34">
        <v>3</v>
      </c>
      <c r="J123" s="34">
        <v>3</v>
      </c>
      <c r="K123" s="32" t="str">
        <f t="shared" si="6"/>
        <v>33</v>
      </c>
      <c r="L123" s="30"/>
      <c r="M123" s="30"/>
    </row>
    <row r="124" spans="2:13" x14ac:dyDescent="0.3">
      <c r="B124" s="27"/>
      <c r="C124" s="30"/>
      <c r="D124" s="30"/>
      <c r="F124" s="29"/>
      <c r="H124" s="34" t="s">
        <v>71</v>
      </c>
      <c r="I124" s="34">
        <v>3</v>
      </c>
      <c r="J124" s="34">
        <v>3</v>
      </c>
      <c r="K124" s="32" t="str">
        <f t="shared" si="6"/>
        <v>33</v>
      </c>
      <c r="L124" s="30"/>
      <c r="M124" s="30"/>
    </row>
    <row r="125" spans="2:13" x14ac:dyDescent="0.3">
      <c r="B125" s="27"/>
      <c r="C125" s="30"/>
      <c r="D125" s="30"/>
      <c r="F125" s="29"/>
      <c r="H125" s="34" t="s">
        <v>71</v>
      </c>
      <c r="I125" s="34">
        <v>3</v>
      </c>
      <c r="J125" s="34">
        <v>3</v>
      </c>
      <c r="K125" s="32" t="str">
        <f t="shared" si="6"/>
        <v>33</v>
      </c>
      <c r="L125" s="30"/>
      <c r="M125" s="30"/>
    </row>
    <row r="126" spans="2:13" x14ac:dyDescent="0.3">
      <c r="B126" s="27"/>
      <c r="C126" s="30"/>
      <c r="D126" s="30"/>
      <c r="F126" s="29"/>
      <c r="H126" s="34" t="s">
        <v>71</v>
      </c>
      <c r="I126" s="34">
        <v>4</v>
      </c>
      <c r="J126" s="34">
        <v>1</v>
      </c>
      <c r="K126" s="32" t="str">
        <f t="shared" si="6"/>
        <v>41</v>
      </c>
      <c r="L126" s="30"/>
      <c r="M126" s="30"/>
    </row>
    <row r="127" spans="2:13" x14ac:dyDescent="0.3">
      <c r="B127" s="27"/>
      <c r="C127" s="30"/>
      <c r="D127" s="30"/>
      <c r="F127" s="29"/>
      <c r="H127" s="34" t="s">
        <v>71</v>
      </c>
      <c r="I127" s="34">
        <v>4</v>
      </c>
      <c r="J127" s="34">
        <v>2</v>
      </c>
      <c r="K127" s="32" t="str">
        <f t="shared" si="6"/>
        <v>42</v>
      </c>
      <c r="L127" s="30"/>
      <c r="M127" s="30"/>
    </row>
    <row r="128" spans="2:13" x14ac:dyDescent="0.3">
      <c r="B128" s="27"/>
      <c r="C128" s="30"/>
      <c r="D128" s="30"/>
      <c r="F128" s="29"/>
      <c r="H128" s="34" t="s">
        <v>71</v>
      </c>
      <c r="I128" s="34">
        <v>4</v>
      </c>
      <c r="J128" s="34">
        <v>2</v>
      </c>
      <c r="K128" s="32" t="str">
        <f t="shared" si="6"/>
        <v>42</v>
      </c>
      <c r="L128" s="30"/>
      <c r="M128" s="30"/>
    </row>
    <row r="129" spans="2:13" x14ac:dyDescent="0.3">
      <c r="B129" s="27"/>
      <c r="C129" s="30"/>
      <c r="D129" s="30"/>
      <c r="F129" s="29"/>
      <c r="H129" s="34" t="s">
        <v>71</v>
      </c>
      <c r="I129" s="34">
        <v>4</v>
      </c>
      <c r="J129" s="34">
        <v>2</v>
      </c>
      <c r="K129" s="32" t="str">
        <f t="shared" si="6"/>
        <v>42</v>
      </c>
      <c r="L129" s="30"/>
      <c r="M129" s="30"/>
    </row>
    <row r="130" spans="2:13" x14ac:dyDescent="0.3">
      <c r="B130" s="27"/>
      <c r="C130" s="30"/>
      <c r="D130" s="30"/>
      <c r="F130" s="29"/>
      <c r="H130" s="34" t="s">
        <v>71</v>
      </c>
      <c r="I130" s="34">
        <v>5</v>
      </c>
      <c r="J130" s="34">
        <v>1</v>
      </c>
      <c r="K130" s="32" t="str">
        <f t="shared" si="6"/>
        <v>51</v>
      </c>
      <c r="L130" s="30"/>
      <c r="M130" s="30"/>
    </row>
    <row r="131" spans="2:13" x14ac:dyDescent="0.3">
      <c r="B131" s="27"/>
      <c r="C131" s="30"/>
      <c r="D131" s="30"/>
      <c r="F131" s="29"/>
      <c r="H131" s="34" t="s">
        <v>71</v>
      </c>
      <c r="I131" s="34">
        <v>5</v>
      </c>
      <c r="J131" s="34">
        <v>1</v>
      </c>
      <c r="K131" s="32" t="str">
        <f t="shared" si="6"/>
        <v>51</v>
      </c>
      <c r="L131" s="30"/>
      <c r="M131" s="30"/>
    </row>
    <row r="132" spans="2:13" x14ac:dyDescent="0.3">
      <c r="B132" s="27"/>
      <c r="C132" s="30"/>
      <c r="D132" s="30"/>
      <c r="F132" s="29"/>
      <c r="H132" s="34" t="s">
        <v>71</v>
      </c>
      <c r="I132" s="34">
        <v>5</v>
      </c>
      <c r="J132" s="34">
        <v>1</v>
      </c>
      <c r="K132" s="32" t="str">
        <f t="shared" ref="K132:K195" si="7">CONCATENATE(I132,J132)</f>
        <v>51</v>
      </c>
      <c r="L132" s="30"/>
      <c r="M132" s="30"/>
    </row>
    <row r="133" spans="2:13" x14ac:dyDescent="0.3">
      <c r="B133" s="27"/>
      <c r="C133" s="30"/>
      <c r="D133" s="30"/>
      <c r="F133" s="29"/>
      <c r="H133" s="34" t="s">
        <v>71</v>
      </c>
      <c r="I133" s="34">
        <v>5</v>
      </c>
      <c r="J133" s="34">
        <v>2</v>
      </c>
      <c r="K133" s="32" t="str">
        <f t="shared" si="7"/>
        <v>52</v>
      </c>
      <c r="L133" s="30"/>
      <c r="M133" s="30"/>
    </row>
    <row r="134" spans="2:13" x14ac:dyDescent="0.3">
      <c r="B134" s="27"/>
      <c r="C134" s="30"/>
      <c r="D134" s="30"/>
      <c r="F134" s="29"/>
      <c r="H134" s="34" t="s">
        <v>71</v>
      </c>
      <c r="I134" s="34">
        <v>5</v>
      </c>
      <c r="J134" s="34">
        <v>2</v>
      </c>
      <c r="K134" s="32" t="str">
        <f t="shared" si="7"/>
        <v>52</v>
      </c>
      <c r="L134" s="30"/>
      <c r="M134" s="30"/>
    </row>
    <row r="135" spans="2:13" x14ac:dyDescent="0.3">
      <c r="B135" s="27"/>
      <c r="C135" s="30"/>
      <c r="D135" s="30"/>
      <c r="F135" s="29"/>
      <c r="H135" s="34" t="s">
        <v>71</v>
      </c>
      <c r="I135" s="34">
        <v>5</v>
      </c>
      <c r="J135" s="34">
        <v>3</v>
      </c>
      <c r="K135" s="32" t="str">
        <f t="shared" si="7"/>
        <v>53</v>
      </c>
      <c r="L135" s="30"/>
      <c r="M135" s="30"/>
    </row>
    <row r="136" spans="2:13" x14ac:dyDescent="0.3">
      <c r="B136" s="27"/>
      <c r="C136" s="27"/>
      <c r="D136" s="27"/>
      <c r="F136" s="29"/>
      <c r="H136" s="34" t="s">
        <v>71</v>
      </c>
      <c r="I136" s="34">
        <v>5</v>
      </c>
      <c r="J136" s="34">
        <v>3</v>
      </c>
      <c r="K136" s="32" t="str">
        <f t="shared" si="7"/>
        <v>53</v>
      </c>
      <c r="L136" s="30"/>
      <c r="M136" s="30"/>
    </row>
    <row r="137" spans="2:13" x14ac:dyDescent="0.3">
      <c r="B137" s="27"/>
      <c r="C137" s="27"/>
      <c r="D137" s="27"/>
      <c r="F137" s="29"/>
      <c r="H137" s="34" t="s">
        <v>71</v>
      </c>
      <c r="I137" s="34">
        <v>5</v>
      </c>
      <c r="J137" s="34">
        <v>3</v>
      </c>
      <c r="K137" s="32" t="str">
        <f t="shared" si="7"/>
        <v>53</v>
      </c>
      <c r="L137" s="30"/>
      <c r="M137" s="30"/>
    </row>
    <row r="138" spans="2:13" x14ac:dyDescent="0.3">
      <c r="B138" s="27"/>
      <c r="C138" s="27"/>
      <c r="D138" s="27"/>
      <c r="F138" s="29"/>
      <c r="H138" s="34" t="s">
        <v>71</v>
      </c>
      <c r="I138" s="34">
        <v>5</v>
      </c>
      <c r="J138" s="34">
        <v>3</v>
      </c>
      <c r="K138" s="32" t="str">
        <f t="shared" si="7"/>
        <v>53</v>
      </c>
      <c r="L138" s="30"/>
      <c r="M138" s="30"/>
    </row>
    <row r="139" spans="2:13" x14ac:dyDescent="0.3">
      <c r="B139" s="27"/>
      <c r="C139" s="27"/>
      <c r="D139" s="27"/>
      <c r="F139" s="29"/>
      <c r="H139" s="34" t="s">
        <v>71</v>
      </c>
      <c r="I139" s="34">
        <v>5</v>
      </c>
      <c r="J139" s="34">
        <v>4</v>
      </c>
      <c r="K139" s="32" t="str">
        <f t="shared" si="7"/>
        <v>54</v>
      </c>
      <c r="L139" s="30"/>
      <c r="M139" s="30"/>
    </row>
    <row r="140" spans="2:13" x14ac:dyDescent="0.3">
      <c r="B140" s="27"/>
      <c r="C140" s="27"/>
      <c r="D140" s="27"/>
      <c r="F140" s="29"/>
      <c r="H140" s="34" t="s">
        <v>71</v>
      </c>
      <c r="I140" s="34">
        <v>5</v>
      </c>
      <c r="J140" s="34">
        <v>4</v>
      </c>
      <c r="K140" s="32" t="str">
        <f t="shared" si="7"/>
        <v>54</v>
      </c>
      <c r="L140" s="30"/>
      <c r="M140" s="30"/>
    </row>
    <row r="141" spans="2:13" x14ac:dyDescent="0.3">
      <c r="B141" s="27"/>
      <c r="C141" s="27"/>
      <c r="D141" s="27"/>
      <c r="F141" s="29"/>
      <c r="H141" s="34" t="s">
        <v>71</v>
      </c>
      <c r="I141" s="34">
        <v>5</v>
      </c>
      <c r="J141" s="34">
        <v>5</v>
      </c>
      <c r="K141" s="32" t="str">
        <f t="shared" si="7"/>
        <v>55</v>
      </c>
      <c r="L141" s="30"/>
      <c r="M141" s="30"/>
    </row>
    <row r="142" spans="2:13" x14ac:dyDescent="0.3">
      <c r="B142" s="27"/>
      <c r="C142" s="27"/>
      <c r="D142" s="27"/>
      <c r="F142" s="29"/>
      <c r="H142" s="34" t="s">
        <v>71</v>
      </c>
      <c r="I142" s="34">
        <v>5</v>
      </c>
      <c r="J142" s="34">
        <v>5</v>
      </c>
      <c r="K142" s="32" t="str">
        <f t="shared" si="7"/>
        <v>55</v>
      </c>
      <c r="L142" s="30"/>
      <c r="M142" s="30"/>
    </row>
    <row r="143" spans="2:13" x14ac:dyDescent="0.3">
      <c r="B143" s="27"/>
      <c r="C143" s="27"/>
      <c r="D143" s="27"/>
      <c r="F143" s="27"/>
      <c r="H143" s="34" t="s">
        <v>71</v>
      </c>
      <c r="I143" s="34">
        <v>6</v>
      </c>
      <c r="J143" s="34">
        <v>1</v>
      </c>
      <c r="K143" s="32" t="str">
        <f t="shared" si="7"/>
        <v>61</v>
      </c>
      <c r="L143" s="30"/>
      <c r="M143" s="30"/>
    </row>
    <row r="144" spans="2:13" x14ac:dyDescent="0.3">
      <c r="B144" s="27"/>
      <c r="C144" s="27"/>
      <c r="D144" s="27"/>
      <c r="F144" s="29"/>
      <c r="H144" s="34" t="s">
        <v>71</v>
      </c>
      <c r="I144" s="34">
        <v>6</v>
      </c>
      <c r="J144" s="34">
        <v>1</v>
      </c>
      <c r="K144" s="32" t="str">
        <f t="shared" si="7"/>
        <v>61</v>
      </c>
      <c r="L144" s="30"/>
      <c r="M144" s="30"/>
    </row>
    <row r="145" spans="2:13" x14ac:dyDescent="0.3">
      <c r="B145" s="27"/>
      <c r="C145" s="27"/>
      <c r="D145" s="27"/>
      <c r="F145" s="29"/>
      <c r="H145" s="34" t="s">
        <v>71</v>
      </c>
      <c r="I145" s="34">
        <v>6</v>
      </c>
      <c r="J145" s="34">
        <v>1</v>
      </c>
      <c r="K145" s="32" t="str">
        <f t="shared" si="7"/>
        <v>61</v>
      </c>
      <c r="L145" s="30"/>
      <c r="M145" s="30"/>
    </row>
    <row r="146" spans="2:13" x14ac:dyDescent="0.3">
      <c r="B146" s="27"/>
      <c r="C146" s="27"/>
      <c r="D146" s="27"/>
      <c r="F146" s="29"/>
      <c r="H146" s="34" t="s">
        <v>71</v>
      </c>
      <c r="I146" s="34">
        <v>6</v>
      </c>
      <c r="J146" s="34">
        <v>1</v>
      </c>
      <c r="K146" s="32" t="str">
        <f t="shared" si="7"/>
        <v>61</v>
      </c>
      <c r="L146" s="30"/>
      <c r="M146" s="30"/>
    </row>
    <row r="147" spans="2:13" x14ac:dyDescent="0.3">
      <c r="B147" s="27"/>
      <c r="C147" s="27"/>
      <c r="D147" s="27"/>
      <c r="F147" s="27"/>
      <c r="H147" s="34" t="s">
        <v>71</v>
      </c>
      <c r="I147" s="34">
        <v>6</v>
      </c>
      <c r="J147" s="34">
        <v>2</v>
      </c>
      <c r="K147" s="32" t="str">
        <f t="shared" si="7"/>
        <v>62</v>
      </c>
      <c r="L147" s="30"/>
      <c r="M147" s="30"/>
    </row>
    <row r="148" spans="2:13" x14ac:dyDescent="0.3">
      <c r="B148" s="27"/>
      <c r="C148" s="27"/>
      <c r="D148" s="27"/>
      <c r="F148" s="29"/>
      <c r="H148" s="34" t="s">
        <v>71</v>
      </c>
      <c r="I148" s="34">
        <v>6</v>
      </c>
      <c r="J148" s="34">
        <v>2</v>
      </c>
      <c r="K148" s="32" t="str">
        <f t="shared" si="7"/>
        <v>62</v>
      </c>
      <c r="L148" s="30"/>
      <c r="M148" s="30"/>
    </row>
    <row r="149" spans="2:13" x14ac:dyDescent="0.3">
      <c r="B149" s="27"/>
      <c r="C149" s="27"/>
      <c r="D149" s="27"/>
      <c r="F149" s="29"/>
      <c r="H149" s="34" t="s">
        <v>71</v>
      </c>
      <c r="I149" s="34">
        <v>6</v>
      </c>
      <c r="J149" s="34">
        <v>2</v>
      </c>
      <c r="K149" s="32" t="str">
        <f t="shared" si="7"/>
        <v>62</v>
      </c>
      <c r="L149" s="30"/>
      <c r="M149" s="30"/>
    </row>
    <row r="150" spans="2:13" x14ac:dyDescent="0.3">
      <c r="B150" s="27"/>
      <c r="C150" s="27"/>
      <c r="D150" s="27"/>
      <c r="F150" s="27"/>
      <c r="H150" s="34" t="s">
        <v>71</v>
      </c>
      <c r="I150" s="34">
        <v>6</v>
      </c>
      <c r="J150" s="34">
        <v>3</v>
      </c>
      <c r="K150" s="32" t="str">
        <f t="shared" si="7"/>
        <v>63</v>
      </c>
      <c r="L150" s="30"/>
      <c r="M150" s="30"/>
    </row>
    <row r="151" spans="2:13" x14ac:dyDescent="0.3">
      <c r="B151" s="27"/>
      <c r="C151" s="27"/>
      <c r="D151" s="27"/>
      <c r="F151" s="29"/>
      <c r="H151" s="34" t="s">
        <v>71</v>
      </c>
      <c r="I151" s="34">
        <v>6</v>
      </c>
      <c r="J151" s="34">
        <v>3</v>
      </c>
      <c r="K151" s="32" t="str">
        <f t="shared" si="7"/>
        <v>63</v>
      </c>
      <c r="L151" s="30"/>
      <c r="M151" s="30"/>
    </row>
    <row r="152" spans="2:13" x14ac:dyDescent="0.3">
      <c r="B152" s="27"/>
      <c r="C152" s="27"/>
      <c r="D152" s="27"/>
      <c r="F152" s="27"/>
      <c r="H152" s="34" t="s">
        <v>71</v>
      </c>
      <c r="I152" s="34">
        <v>6</v>
      </c>
      <c r="J152" s="34">
        <v>4</v>
      </c>
      <c r="K152" s="32" t="str">
        <f t="shared" si="7"/>
        <v>64</v>
      </c>
      <c r="L152" s="30"/>
      <c r="M152" s="30"/>
    </row>
    <row r="153" spans="2:13" x14ac:dyDescent="0.3">
      <c r="B153" s="27"/>
      <c r="C153" s="27"/>
      <c r="D153" s="27"/>
      <c r="F153" s="29"/>
      <c r="H153" s="34" t="s">
        <v>71</v>
      </c>
      <c r="I153" s="34">
        <v>6</v>
      </c>
      <c r="J153" s="34">
        <v>4</v>
      </c>
      <c r="K153" s="32" t="str">
        <f t="shared" si="7"/>
        <v>64</v>
      </c>
      <c r="L153" s="30"/>
      <c r="M153" s="30"/>
    </row>
    <row r="154" spans="2:13" x14ac:dyDescent="0.3">
      <c r="B154" s="27"/>
      <c r="C154" s="27"/>
      <c r="D154" s="27"/>
      <c r="F154" s="27"/>
      <c r="H154" s="34" t="s">
        <v>71</v>
      </c>
      <c r="I154" s="34">
        <v>6</v>
      </c>
      <c r="J154" s="34">
        <v>5</v>
      </c>
      <c r="K154" s="32" t="str">
        <f t="shared" si="7"/>
        <v>65</v>
      </c>
      <c r="L154" s="30"/>
      <c r="M154" s="30"/>
    </row>
    <row r="155" spans="2:13" x14ac:dyDescent="0.3">
      <c r="B155" s="27"/>
      <c r="C155" s="27"/>
      <c r="D155" s="27"/>
      <c r="F155" s="29"/>
      <c r="H155" s="34" t="s">
        <v>71</v>
      </c>
      <c r="I155" s="34">
        <v>6</v>
      </c>
      <c r="J155" s="34">
        <v>5</v>
      </c>
      <c r="K155" s="32" t="str">
        <f t="shared" si="7"/>
        <v>65</v>
      </c>
      <c r="L155" s="30"/>
      <c r="M155" s="30"/>
    </row>
    <row r="156" spans="2:13" x14ac:dyDescent="0.3">
      <c r="B156" s="27"/>
      <c r="C156" s="27"/>
      <c r="D156" s="27"/>
      <c r="F156" s="29"/>
      <c r="H156" s="34" t="s">
        <v>71</v>
      </c>
      <c r="I156" s="34">
        <v>6</v>
      </c>
      <c r="J156" s="34">
        <v>5</v>
      </c>
      <c r="K156" s="32" t="str">
        <f t="shared" si="7"/>
        <v>65</v>
      </c>
      <c r="L156" s="30"/>
      <c r="M156" s="30"/>
    </row>
    <row r="157" spans="2:13" x14ac:dyDescent="0.3">
      <c r="B157" s="27"/>
      <c r="C157" s="27"/>
      <c r="D157" s="27"/>
      <c r="F157" s="29"/>
      <c r="H157" s="34" t="s">
        <v>71</v>
      </c>
      <c r="I157" s="34">
        <v>6</v>
      </c>
      <c r="J157" s="34">
        <v>5</v>
      </c>
      <c r="K157" s="32" t="str">
        <f t="shared" si="7"/>
        <v>65</v>
      </c>
      <c r="L157" s="30"/>
      <c r="M157" s="30"/>
    </row>
    <row r="158" spans="2:13" x14ac:dyDescent="0.3">
      <c r="B158" s="27"/>
      <c r="C158" s="27"/>
      <c r="D158" s="27"/>
      <c r="F158" s="29"/>
      <c r="H158" s="34" t="s">
        <v>71</v>
      </c>
      <c r="I158" s="34">
        <v>6</v>
      </c>
      <c r="J158" s="34">
        <v>5</v>
      </c>
      <c r="K158" s="32" t="str">
        <f t="shared" si="7"/>
        <v>65</v>
      </c>
      <c r="L158" s="30"/>
      <c r="M158" s="30"/>
    </row>
    <row r="159" spans="2:13" x14ac:dyDescent="0.3">
      <c r="B159" s="27"/>
      <c r="C159" s="27"/>
      <c r="D159" s="27"/>
      <c r="H159" s="34" t="s">
        <v>71</v>
      </c>
      <c r="I159" s="34">
        <v>6</v>
      </c>
      <c r="J159" s="34">
        <v>5</v>
      </c>
      <c r="K159" s="32" t="str">
        <f t="shared" si="7"/>
        <v>65</v>
      </c>
      <c r="L159" s="30"/>
      <c r="M159" s="30"/>
    </row>
    <row r="160" spans="2:13" x14ac:dyDescent="0.3">
      <c r="B160" s="27"/>
      <c r="C160" s="27"/>
      <c r="D160" s="27"/>
      <c r="H160" s="34" t="s">
        <v>71</v>
      </c>
      <c r="I160" s="34">
        <v>6</v>
      </c>
      <c r="J160" s="34">
        <v>5</v>
      </c>
      <c r="K160" s="32" t="str">
        <f t="shared" si="7"/>
        <v>65</v>
      </c>
      <c r="L160" s="30"/>
      <c r="M160" s="30"/>
    </row>
    <row r="161" spans="2:13" x14ac:dyDescent="0.3">
      <c r="B161" s="27"/>
      <c r="C161" s="27"/>
      <c r="D161" s="27"/>
      <c r="H161" s="34" t="s">
        <v>71</v>
      </c>
      <c r="I161" s="34">
        <v>6</v>
      </c>
      <c r="J161" s="34">
        <v>5</v>
      </c>
      <c r="K161" s="32" t="str">
        <f t="shared" si="7"/>
        <v>65</v>
      </c>
      <c r="L161" s="30"/>
      <c r="M161" s="30"/>
    </row>
    <row r="162" spans="2:13" x14ac:dyDescent="0.3">
      <c r="B162" s="27"/>
      <c r="C162" s="27"/>
      <c r="D162" s="27"/>
      <c r="H162" s="34" t="s">
        <v>71</v>
      </c>
      <c r="I162" s="34">
        <v>6</v>
      </c>
      <c r="J162" s="34">
        <v>6</v>
      </c>
      <c r="K162" s="32" t="str">
        <f t="shared" si="7"/>
        <v>66</v>
      </c>
      <c r="L162" s="30"/>
      <c r="M162" s="30"/>
    </row>
    <row r="163" spans="2:13" x14ac:dyDescent="0.3">
      <c r="B163" s="27"/>
      <c r="C163" s="27"/>
      <c r="D163" s="27"/>
      <c r="H163" s="34" t="s">
        <v>71</v>
      </c>
      <c r="I163" s="34">
        <v>6</v>
      </c>
      <c r="J163" s="34">
        <v>6</v>
      </c>
      <c r="K163" s="32" t="str">
        <f t="shared" si="7"/>
        <v>66</v>
      </c>
      <c r="L163" s="30"/>
      <c r="M163" s="30"/>
    </row>
    <row r="164" spans="2:13" ht="36" customHeight="1" x14ac:dyDescent="0.3">
      <c r="B164" s="27"/>
      <c r="C164" s="27"/>
      <c r="D164" s="27"/>
      <c r="H164" s="34" t="s">
        <v>71</v>
      </c>
      <c r="I164" s="34">
        <v>7</v>
      </c>
      <c r="J164" s="34">
        <v>1</v>
      </c>
      <c r="K164" s="32" t="str">
        <f t="shared" si="7"/>
        <v>71</v>
      </c>
      <c r="L164" s="30"/>
      <c r="M164" s="30"/>
    </row>
    <row r="165" spans="2:13" x14ac:dyDescent="0.3">
      <c r="B165" s="27"/>
      <c r="C165" s="27"/>
      <c r="D165" s="27"/>
      <c r="F165" s="29"/>
      <c r="H165" s="34" t="s">
        <v>71</v>
      </c>
      <c r="I165" s="34">
        <v>7</v>
      </c>
      <c r="J165" s="34">
        <v>1</v>
      </c>
      <c r="K165" s="32" t="str">
        <f t="shared" si="7"/>
        <v>71</v>
      </c>
      <c r="L165" s="30"/>
      <c r="M165" s="30"/>
    </row>
    <row r="166" spans="2:13" x14ac:dyDescent="0.3">
      <c r="B166" s="27"/>
      <c r="C166" s="27"/>
      <c r="D166" s="27"/>
      <c r="F166" s="29"/>
      <c r="H166" s="34" t="s">
        <v>71</v>
      </c>
      <c r="I166" s="34">
        <v>7</v>
      </c>
      <c r="J166" s="34">
        <v>1</v>
      </c>
      <c r="K166" s="32" t="str">
        <f t="shared" si="7"/>
        <v>71</v>
      </c>
      <c r="L166" s="30"/>
      <c r="M166" s="30"/>
    </row>
    <row r="167" spans="2:13" x14ac:dyDescent="0.3">
      <c r="B167" s="27"/>
      <c r="C167" s="27"/>
      <c r="D167" s="27"/>
      <c r="F167" s="29"/>
      <c r="H167" s="34" t="s">
        <v>71</v>
      </c>
      <c r="I167" s="34">
        <v>7</v>
      </c>
      <c r="J167" s="34">
        <v>1</v>
      </c>
      <c r="K167" s="32" t="str">
        <f t="shared" si="7"/>
        <v>71</v>
      </c>
      <c r="L167" s="30"/>
      <c r="M167" s="30"/>
    </row>
    <row r="168" spans="2:13" x14ac:dyDescent="0.3">
      <c r="B168" s="27"/>
      <c r="C168" s="27"/>
      <c r="D168" s="27"/>
      <c r="F168" s="29"/>
      <c r="H168" s="34" t="s">
        <v>71</v>
      </c>
      <c r="I168" s="34">
        <v>7</v>
      </c>
      <c r="J168" s="34">
        <v>2</v>
      </c>
      <c r="K168" s="32" t="str">
        <f t="shared" si="7"/>
        <v>72</v>
      </c>
      <c r="L168" s="30"/>
      <c r="M168" s="30"/>
    </row>
    <row r="169" spans="2:13" x14ac:dyDescent="0.3">
      <c r="B169" s="27"/>
      <c r="C169" s="27"/>
      <c r="D169" s="27"/>
      <c r="F169" s="29"/>
      <c r="H169" s="34" t="s">
        <v>71</v>
      </c>
      <c r="I169" s="34">
        <v>7</v>
      </c>
      <c r="J169" s="34">
        <v>2</v>
      </c>
      <c r="K169" s="32" t="str">
        <f t="shared" si="7"/>
        <v>72</v>
      </c>
      <c r="L169" s="30"/>
      <c r="M169" s="30"/>
    </row>
    <row r="170" spans="2:13" x14ac:dyDescent="0.3">
      <c r="B170" s="27"/>
      <c r="C170" s="27"/>
      <c r="D170" s="27"/>
      <c r="F170" s="29"/>
      <c r="H170" s="34" t="s">
        <v>71</v>
      </c>
      <c r="I170" s="34">
        <v>7</v>
      </c>
      <c r="J170" s="34">
        <v>2</v>
      </c>
      <c r="K170" s="32" t="str">
        <f t="shared" si="7"/>
        <v>72</v>
      </c>
      <c r="L170" s="30"/>
      <c r="M170" s="30"/>
    </row>
    <row r="171" spans="2:13" x14ac:dyDescent="0.3">
      <c r="B171" s="27"/>
      <c r="C171" s="27"/>
      <c r="D171" s="27"/>
      <c r="F171" s="29"/>
      <c r="H171" s="34" t="s">
        <v>71</v>
      </c>
      <c r="I171" s="34">
        <v>7</v>
      </c>
      <c r="J171" s="34">
        <v>2</v>
      </c>
      <c r="K171" s="32" t="str">
        <f t="shared" si="7"/>
        <v>72</v>
      </c>
      <c r="L171" s="30"/>
      <c r="M171" s="30"/>
    </row>
    <row r="172" spans="2:13" x14ac:dyDescent="0.3">
      <c r="B172" s="27"/>
      <c r="C172" s="27"/>
      <c r="D172" s="27"/>
      <c r="F172" s="29"/>
      <c r="H172" s="34" t="s">
        <v>71</v>
      </c>
      <c r="I172" s="34">
        <v>7</v>
      </c>
      <c r="J172" s="34">
        <v>2</v>
      </c>
      <c r="K172" s="32" t="str">
        <f t="shared" si="7"/>
        <v>72</v>
      </c>
      <c r="L172" s="30"/>
      <c r="M172" s="30"/>
    </row>
    <row r="173" spans="2:13" x14ac:dyDescent="0.3">
      <c r="B173" s="27"/>
      <c r="C173" s="27"/>
      <c r="D173" s="27"/>
      <c r="F173" s="29"/>
      <c r="H173" s="34" t="s">
        <v>71</v>
      </c>
      <c r="I173" s="34">
        <v>8</v>
      </c>
      <c r="J173" s="34">
        <v>1</v>
      </c>
      <c r="K173" s="32" t="str">
        <f t="shared" si="7"/>
        <v>81</v>
      </c>
      <c r="L173" s="30"/>
      <c r="M173" s="30"/>
    </row>
    <row r="174" spans="2:13" x14ac:dyDescent="0.3">
      <c r="B174" s="27"/>
      <c r="C174" s="27"/>
      <c r="D174" s="27"/>
      <c r="F174" s="29"/>
      <c r="H174" s="34" t="s">
        <v>71</v>
      </c>
      <c r="I174" s="34">
        <v>8</v>
      </c>
      <c r="J174" s="34">
        <v>1</v>
      </c>
      <c r="K174" s="32" t="str">
        <f t="shared" si="7"/>
        <v>81</v>
      </c>
      <c r="L174" s="30"/>
      <c r="M174" s="30"/>
    </row>
    <row r="175" spans="2:13" x14ac:dyDescent="0.3">
      <c r="B175" s="27"/>
      <c r="C175" s="27"/>
      <c r="D175" s="27"/>
      <c r="F175" s="29"/>
      <c r="H175" s="34" t="s">
        <v>71</v>
      </c>
      <c r="I175" s="34">
        <v>8</v>
      </c>
      <c r="J175" s="34">
        <v>1</v>
      </c>
      <c r="K175" s="32" t="str">
        <f t="shared" si="7"/>
        <v>81</v>
      </c>
      <c r="L175" s="30"/>
      <c r="M175" s="30"/>
    </row>
    <row r="176" spans="2:13" x14ac:dyDescent="0.3">
      <c r="B176" s="27"/>
      <c r="C176" s="27"/>
      <c r="D176" s="27"/>
      <c r="F176" s="29"/>
      <c r="H176" s="34" t="s">
        <v>71</v>
      </c>
      <c r="I176" s="34">
        <v>8</v>
      </c>
      <c r="J176" s="34">
        <v>2</v>
      </c>
      <c r="K176" s="32" t="str">
        <f t="shared" si="7"/>
        <v>82</v>
      </c>
      <c r="L176" s="30"/>
      <c r="M176" s="30"/>
    </row>
    <row r="177" spans="2:13" x14ac:dyDescent="0.3">
      <c r="B177" s="27"/>
      <c r="C177" s="27"/>
      <c r="D177" s="27"/>
      <c r="F177" s="29"/>
      <c r="H177" s="34" t="s">
        <v>71</v>
      </c>
      <c r="I177" s="34">
        <v>8</v>
      </c>
      <c r="J177" s="34">
        <v>2</v>
      </c>
      <c r="K177" s="32" t="str">
        <f t="shared" si="7"/>
        <v>82</v>
      </c>
      <c r="L177" s="30"/>
      <c r="M177" s="30"/>
    </row>
    <row r="178" spans="2:13" x14ac:dyDescent="0.3">
      <c r="B178" s="27"/>
      <c r="C178" s="27"/>
      <c r="D178" s="27"/>
      <c r="F178" s="29"/>
      <c r="H178" s="34" t="s">
        <v>71</v>
      </c>
      <c r="I178" s="34">
        <v>8</v>
      </c>
      <c r="J178" s="34">
        <v>2</v>
      </c>
      <c r="K178" s="32" t="str">
        <f t="shared" si="7"/>
        <v>82</v>
      </c>
      <c r="L178" s="30"/>
      <c r="M178" s="30"/>
    </row>
    <row r="179" spans="2:13" x14ac:dyDescent="0.3">
      <c r="B179" s="27"/>
      <c r="C179" s="27"/>
      <c r="D179" s="27"/>
      <c r="F179" s="29"/>
      <c r="H179" s="34" t="s">
        <v>71</v>
      </c>
      <c r="I179" s="34">
        <v>8</v>
      </c>
      <c r="J179" s="34">
        <v>3</v>
      </c>
      <c r="K179" s="32" t="str">
        <f t="shared" si="7"/>
        <v>83</v>
      </c>
      <c r="L179" s="30"/>
      <c r="M179" s="30"/>
    </row>
    <row r="180" spans="2:13" x14ac:dyDescent="0.3">
      <c r="B180" s="27"/>
      <c r="C180" s="27"/>
      <c r="D180" s="27"/>
      <c r="F180" s="29"/>
      <c r="H180" s="34" t="s">
        <v>71</v>
      </c>
      <c r="I180" s="34">
        <v>8</v>
      </c>
      <c r="J180" s="34">
        <v>3</v>
      </c>
      <c r="K180" s="32" t="str">
        <f t="shared" si="7"/>
        <v>83</v>
      </c>
      <c r="L180" s="30"/>
      <c r="M180" s="30"/>
    </row>
    <row r="181" spans="2:13" x14ac:dyDescent="0.3">
      <c r="B181" s="27"/>
      <c r="C181" s="27"/>
      <c r="D181" s="27"/>
      <c r="F181" s="29"/>
      <c r="H181" s="34" t="s">
        <v>71</v>
      </c>
      <c r="I181" s="34">
        <v>8</v>
      </c>
      <c r="J181" s="34">
        <v>4</v>
      </c>
      <c r="K181" s="32" t="str">
        <f t="shared" si="7"/>
        <v>84</v>
      </c>
      <c r="L181" s="30"/>
      <c r="M181" s="30"/>
    </row>
    <row r="182" spans="2:13" x14ac:dyDescent="0.3">
      <c r="B182" s="27"/>
      <c r="C182" s="27"/>
      <c r="D182" s="27"/>
      <c r="F182" s="29"/>
      <c r="H182" s="34" t="s">
        <v>71</v>
      </c>
      <c r="I182" s="34">
        <v>9</v>
      </c>
      <c r="J182" s="34">
        <v>1</v>
      </c>
      <c r="K182" s="32" t="str">
        <f t="shared" si="7"/>
        <v>91</v>
      </c>
      <c r="L182" s="30"/>
      <c r="M182" s="30"/>
    </row>
    <row r="183" spans="2:13" x14ac:dyDescent="0.3">
      <c r="B183" s="27"/>
      <c r="C183" s="27"/>
      <c r="D183" s="27"/>
      <c r="F183" s="29"/>
      <c r="H183" s="34" t="s">
        <v>71</v>
      </c>
      <c r="I183" s="34">
        <v>9</v>
      </c>
      <c r="J183" s="34">
        <v>1</v>
      </c>
      <c r="K183" s="32" t="str">
        <f t="shared" si="7"/>
        <v>91</v>
      </c>
      <c r="L183" s="30"/>
      <c r="M183" s="30"/>
    </row>
    <row r="184" spans="2:13" x14ac:dyDescent="0.3">
      <c r="B184" s="27"/>
      <c r="C184" s="27"/>
      <c r="D184" s="27"/>
      <c r="F184" s="29"/>
      <c r="H184" s="34" t="s">
        <v>71</v>
      </c>
      <c r="I184" s="34">
        <v>9</v>
      </c>
      <c r="J184" s="34">
        <v>1</v>
      </c>
      <c r="K184" s="32" t="str">
        <f t="shared" si="7"/>
        <v>91</v>
      </c>
      <c r="L184" s="30"/>
      <c r="M184" s="30"/>
    </row>
    <row r="185" spans="2:13" x14ac:dyDescent="0.3">
      <c r="B185" s="27"/>
      <c r="C185" s="27"/>
      <c r="D185" s="27"/>
      <c r="F185" s="29"/>
      <c r="H185" s="34" t="s">
        <v>71</v>
      </c>
      <c r="I185" s="34">
        <v>9</v>
      </c>
      <c r="J185" s="34">
        <v>1</v>
      </c>
      <c r="K185" s="32" t="str">
        <f t="shared" si="7"/>
        <v>91</v>
      </c>
      <c r="L185" s="30"/>
      <c r="M185" s="30"/>
    </row>
    <row r="186" spans="2:13" x14ac:dyDescent="0.3">
      <c r="B186" s="27"/>
      <c r="C186" s="27"/>
      <c r="D186" s="27"/>
      <c r="F186" s="29"/>
      <c r="H186" s="34" t="s">
        <v>71</v>
      </c>
      <c r="I186" s="34">
        <v>9</v>
      </c>
      <c r="J186" s="34">
        <v>1</v>
      </c>
      <c r="K186" s="32" t="str">
        <f t="shared" si="7"/>
        <v>91</v>
      </c>
      <c r="L186" s="30"/>
      <c r="M186" s="30"/>
    </row>
    <row r="187" spans="2:13" x14ac:dyDescent="0.3">
      <c r="B187" s="27"/>
      <c r="C187" s="27"/>
      <c r="D187" s="27"/>
      <c r="F187" s="29"/>
      <c r="H187" s="34" t="s">
        <v>71</v>
      </c>
      <c r="I187" s="34">
        <v>9</v>
      </c>
      <c r="J187" s="34">
        <v>1</v>
      </c>
      <c r="K187" s="32" t="str">
        <f t="shared" si="7"/>
        <v>91</v>
      </c>
      <c r="L187" s="30"/>
      <c r="M187" s="30"/>
    </row>
    <row r="188" spans="2:13" x14ac:dyDescent="0.3">
      <c r="B188" s="27"/>
      <c r="C188" s="27"/>
      <c r="D188" s="27"/>
      <c r="F188" s="29"/>
      <c r="H188" s="34" t="s">
        <v>71</v>
      </c>
      <c r="I188" s="34">
        <v>9</v>
      </c>
      <c r="J188" s="34">
        <v>1</v>
      </c>
      <c r="K188" s="32" t="str">
        <f t="shared" si="7"/>
        <v>91</v>
      </c>
      <c r="L188" s="30"/>
      <c r="M188" s="30"/>
    </row>
    <row r="189" spans="2:13" x14ac:dyDescent="0.3">
      <c r="B189" s="27"/>
      <c r="C189" s="27"/>
      <c r="D189" s="27"/>
      <c r="F189" s="29"/>
      <c r="H189" s="34" t="s">
        <v>71</v>
      </c>
      <c r="I189" s="34">
        <v>9</v>
      </c>
      <c r="J189" s="34">
        <v>1</v>
      </c>
      <c r="K189" s="32" t="str">
        <f t="shared" si="7"/>
        <v>91</v>
      </c>
      <c r="L189" s="30"/>
      <c r="M189" s="30"/>
    </row>
    <row r="190" spans="2:13" x14ac:dyDescent="0.3">
      <c r="B190" s="27"/>
      <c r="C190" s="27"/>
      <c r="D190" s="27"/>
      <c r="F190" s="29"/>
      <c r="H190" s="34" t="s">
        <v>71</v>
      </c>
      <c r="I190" s="34">
        <v>9</v>
      </c>
      <c r="J190" s="34">
        <v>2</v>
      </c>
      <c r="K190" s="32" t="str">
        <f t="shared" si="7"/>
        <v>92</v>
      </c>
      <c r="L190" s="30"/>
      <c r="M190" s="30"/>
    </row>
    <row r="191" spans="2:13" x14ac:dyDescent="0.3">
      <c r="B191" s="27"/>
      <c r="C191" s="27"/>
      <c r="D191" s="27"/>
      <c r="F191" s="29"/>
      <c r="H191" s="34" t="s">
        <v>71</v>
      </c>
      <c r="I191" s="34">
        <v>9</v>
      </c>
      <c r="J191" s="34">
        <v>2</v>
      </c>
      <c r="K191" s="32" t="str">
        <f t="shared" si="7"/>
        <v>92</v>
      </c>
      <c r="L191" s="30"/>
      <c r="M191" s="30"/>
    </row>
    <row r="192" spans="2:13" x14ac:dyDescent="0.3">
      <c r="B192" s="27"/>
      <c r="C192" s="27"/>
      <c r="D192" s="27"/>
      <c r="F192" s="29"/>
      <c r="H192" s="34" t="s">
        <v>71</v>
      </c>
      <c r="I192" s="34">
        <v>9</v>
      </c>
      <c r="J192" s="34">
        <v>2</v>
      </c>
      <c r="K192" s="32" t="str">
        <f t="shared" si="7"/>
        <v>92</v>
      </c>
      <c r="L192" s="30"/>
      <c r="M192" s="30"/>
    </row>
    <row r="193" spans="2:13" x14ac:dyDescent="0.3">
      <c r="B193" s="27"/>
      <c r="C193" s="27"/>
      <c r="D193" s="27"/>
      <c r="F193" s="29"/>
      <c r="H193" s="34" t="s">
        <v>71</v>
      </c>
      <c r="I193" s="34">
        <v>9</v>
      </c>
      <c r="J193" s="34">
        <v>2</v>
      </c>
      <c r="K193" s="32" t="str">
        <f t="shared" si="7"/>
        <v>92</v>
      </c>
      <c r="L193" s="30"/>
      <c r="M193" s="30"/>
    </row>
    <row r="194" spans="2:13" x14ac:dyDescent="0.3">
      <c r="B194" s="27"/>
      <c r="C194" s="27"/>
      <c r="D194" s="27"/>
      <c r="F194" s="29"/>
      <c r="H194" s="34" t="s">
        <v>71</v>
      </c>
      <c r="I194" s="34">
        <v>9</v>
      </c>
      <c r="J194" s="34">
        <v>2</v>
      </c>
      <c r="K194" s="32" t="str">
        <f t="shared" si="7"/>
        <v>92</v>
      </c>
      <c r="L194" s="30"/>
      <c r="M194" s="30"/>
    </row>
    <row r="195" spans="2:13" x14ac:dyDescent="0.3">
      <c r="B195" s="27"/>
      <c r="C195" s="27"/>
      <c r="D195" s="27"/>
      <c r="F195" s="29"/>
      <c r="H195" s="34" t="s">
        <v>71</v>
      </c>
      <c r="I195" s="34">
        <v>9</v>
      </c>
      <c r="J195" s="34">
        <v>2</v>
      </c>
      <c r="K195" s="32" t="str">
        <f t="shared" si="7"/>
        <v>92</v>
      </c>
      <c r="L195" s="30"/>
      <c r="M195" s="30"/>
    </row>
    <row r="196" spans="2:13" x14ac:dyDescent="0.3">
      <c r="B196" s="27"/>
      <c r="C196" s="27"/>
      <c r="D196" s="27"/>
      <c r="F196" s="29"/>
      <c r="H196" s="34" t="s">
        <v>71</v>
      </c>
      <c r="I196" s="34">
        <v>9</v>
      </c>
      <c r="J196" s="34">
        <v>2</v>
      </c>
      <c r="K196" s="32" t="str">
        <f t="shared" ref="K196:K201" si="8">CONCATENATE(I196,J196)</f>
        <v>92</v>
      </c>
      <c r="L196" s="30"/>
      <c r="M196" s="30"/>
    </row>
    <row r="197" spans="2:13" x14ac:dyDescent="0.3">
      <c r="B197" s="27"/>
      <c r="C197" s="27"/>
      <c r="D197" s="27"/>
      <c r="F197" s="29"/>
      <c r="H197" s="34" t="s">
        <v>71</v>
      </c>
      <c r="I197" s="34">
        <v>9</v>
      </c>
      <c r="J197" s="34">
        <v>2</v>
      </c>
      <c r="K197" s="32" t="str">
        <f t="shared" si="8"/>
        <v>92</v>
      </c>
      <c r="L197" s="30"/>
      <c r="M197" s="30"/>
    </row>
    <row r="198" spans="2:13" x14ac:dyDescent="0.3">
      <c r="B198" s="27"/>
      <c r="C198" s="27"/>
      <c r="D198" s="27"/>
      <c r="F198" s="29"/>
      <c r="H198" s="34" t="s">
        <v>71</v>
      </c>
      <c r="I198" s="34">
        <v>10</v>
      </c>
      <c r="J198" s="34">
        <v>1</v>
      </c>
      <c r="K198" s="32" t="str">
        <f t="shared" si="8"/>
        <v>101</v>
      </c>
      <c r="L198" s="30"/>
      <c r="M198" s="30"/>
    </row>
    <row r="199" spans="2:13" x14ac:dyDescent="0.3">
      <c r="B199" s="27"/>
      <c r="C199" s="27"/>
      <c r="D199" s="27"/>
      <c r="F199" s="29"/>
      <c r="H199" s="34" t="s">
        <v>71</v>
      </c>
      <c r="I199" s="34">
        <v>10</v>
      </c>
      <c r="J199" s="34">
        <v>1</v>
      </c>
      <c r="K199" s="32" t="str">
        <f t="shared" si="8"/>
        <v>101</v>
      </c>
      <c r="L199" s="30"/>
      <c r="M199" s="30"/>
    </row>
    <row r="200" spans="2:13" x14ac:dyDescent="0.3">
      <c r="B200" s="27"/>
      <c r="C200" s="27"/>
      <c r="D200" s="27"/>
      <c r="F200" s="29"/>
      <c r="H200" s="34" t="s">
        <v>71</v>
      </c>
      <c r="I200" s="34">
        <v>10</v>
      </c>
      <c r="J200" s="34">
        <v>2</v>
      </c>
      <c r="K200" s="32" t="str">
        <f t="shared" si="8"/>
        <v>102</v>
      </c>
      <c r="L200" s="30"/>
      <c r="M200" s="30"/>
    </row>
    <row r="201" spans="2:13" x14ac:dyDescent="0.3">
      <c r="B201" s="27"/>
      <c r="C201" s="27"/>
      <c r="D201" s="27"/>
      <c r="F201" s="29"/>
      <c r="H201" s="34" t="s">
        <v>71</v>
      </c>
      <c r="I201" s="34">
        <v>10</v>
      </c>
      <c r="J201" s="34">
        <v>3</v>
      </c>
      <c r="K201" s="32" t="str">
        <f t="shared" si="8"/>
        <v>103</v>
      </c>
      <c r="L201" s="30"/>
      <c r="M201" s="30"/>
    </row>
    <row r="202" spans="2:13" x14ac:dyDescent="0.3">
      <c r="B202" s="27"/>
      <c r="C202" s="27"/>
      <c r="D202" s="27"/>
    </row>
  </sheetData>
  <mergeCells count="5">
    <mergeCell ref="W10:AA10"/>
    <mergeCell ref="T13:T17"/>
    <mergeCell ref="B1:G1"/>
    <mergeCell ref="N1:P1"/>
    <mergeCell ref="R1:T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9"/>
  <sheetViews>
    <sheetView showGridLines="0" tabSelected="1" topLeftCell="B1" workbookViewId="0">
      <selection activeCell="J11" sqref="J11"/>
    </sheetView>
  </sheetViews>
  <sheetFormatPr baseColWidth="10" defaultRowHeight="14.4" x14ac:dyDescent="0.3"/>
  <cols>
    <col min="2" max="2" width="4.33203125" customWidth="1"/>
    <col min="4" max="4" width="4" customWidth="1"/>
    <col min="5" max="9" width="12.33203125" customWidth="1"/>
    <col min="14" max="18" width="12.44140625" customWidth="1"/>
  </cols>
  <sheetData>
    <row r="2" spans="2:18" x14ac:dyDescent="0.3">
      <c r="E2" s="199" t="s">
        <v>260</v>
      </c>
      <c r="F2" s="199"/>
      <c r="G2" s="199"/>
      <c r="H2" s="199"/>
      <c r="I2" s="199"/>
      <c r="N2" s="199" t="s">
        <v>252</v>
      </c>
      <c r="O2" s="199"/>
      <c r="P2" s="199"/>
      <c r="Q2" s="199"/>
      <c r="R2" s="199"/>
    </row>
    <row r="3" spans="2:18" x14ac:dyDescent="0.3">
      <c r="E3" s="123"/>
      <c r="F3" s="123"/>
      <c r="G3" s="123"/>
      <c r="H3" s="123"/>
      <c r="I3" s="123"/>
      <c r="N3" s="123"/>
      <c r="O3" s="123"/>
      <c r="P3" s="123"/>
      <c r="Q3" s="123"/>
      <c r="R3" s="123"/>
    </row>
    <row r="4" spans="2:18" x14ac:dyDescent="0.3">
      <c r="E4" s="123"/>
      <c r="F4" s="123"/>
      <c r="G4" s="123"/>
      <c r="H4" s="123"/>
      <c r="I4" s="123"/>
      <c r="N4" s="123"/>
      <c r="O4" s="123"/>
      <c r="P4" s="123"/>
      <c r="Q4" s="123"/>
      <c r="R4" s="123"/>
    </row>
    <row r="5" spans="2:18" x14ac:dyDescent="0.3">
      <c r="B5" s="30"/>
      <c r="C5" s="30"/>
      <c r="D5" s="30"/>
      <c r="E5" s="194" t="s">
        <v>130</v>
      </c>
      <c r="F5" s="194"/>
      <c r="G5" s="194"/>
      <c r="H5" s="194"/>
      <c r="I5" s="194"/>
      <c r="K5" s="30"/>
      <c r="L5" s="30"/>
      <c r="M5" s="30"/>
      <c r="N5" s="194" t="s">
        <v>130</v>
      </c>
      <c r="O5" s="194"/>
      <c r="P5" s="194"/>
      <c r="Q5" s="194"/>
      <c r="R5" s="194"/>
    </row>
    <row r="6" spans="2:18" x14ac:dyDescent="0.3">
      <c r="B6" s="30"/>
      <c r="C6" s="30"/>
      <c r="D6" s="30"/>
      <c r="E6" s="43" t="s">
        <v>9</v>
      </c>
      <c r="F6" s="43" t="s">
        <v>10</v>
      </c>
      <c r="G6" s="43" t="s">
        <v>129</v>
      </c>
      <c r="H6" s="43" t="s">
        <v>128</v>
      </c>
      <c r="I6" s="43" t="s">
        <v>127</v>
      </c>
      <c r="K6" s="30"/>
      <c r="L6" s="30"/>
      <c r="M6" s="30"/>
      <c r="N6" s="43" t="s">
        <v>9</v>
      </c>
      <c r="O6" s="43" t="s">
        <v>10</v>
      </c>
      <c r="P6" s="43" t="s">
        <v>129</v>
      </c>
      <c r="Q6" s="43" t="s">
        <v>128</v>
      </c>
      <c r="R6" s="43" t="s">
        <v>127</v>
      </c>
    </row>
    <row r="7" spans="2:18" x14ac:dyDescent="0.3">
      <c r="B7" s="30"/>
      <c r="C7" s="30"/>
      <c r="E7" s="32"/>
      <c r="F7" s="32"/>
      <c r="G7" s="32"/>
      <c r="H7" s="32"/>
      <c r="I7" s="32"/>
      <c r="K7" s="30"/>
      <c r="L7" s="30"/>
      <c r="N7" s="32"/>
      <c r="O7" s="32"/>
      <c r="P7" s="32"/>
      <c r="Q7" s="32"/>
      <c r="R7" s="32"/>
    </row>
    <row r="8" spans="2:18" ht="33" customHeight="1" x14ac:dyDescent="0.3">
      <c r="B8" s="198" t="s">
        <v>131</v>
      </c>
      <c r="C8" s="44" t="s">
        <v>134</v>
      </c>
      <c r="D8" s="30"/>
      <c r="E8" s="49"/>
      <c r="F8" s="49"/>
      <c r="G8" s="52"/>
      <c r="H8" s="47"/>
      <c r="I8" s="47"/>
      <c r="K8" s="198" t="s">
        <v>131</v>
      </c>
      <c r="L8" s="44" t="s">
        <v>134</v>
      </c>
      <c r="M8" s="30"/>
      <c r="N8" s="49"/>
      <c r="O8" s="49"/>
      <c r="P8" s="52"/>
      <c r="Q8" s="47"/>
      <c r="R8" s="47"/>
    </row>
    <row r="9" spans="2:18" ht="33" customHeight="1" x14ac:dyDescent="0.3">
      <c r="B9" s="198"/>
      <c r="C9" s="44" t="s">
        <v>133</v>
      </c>
      <c r="D9" s="30"/>
      <c r="E9" s="50"/>
      <c r="F9" s="49"/>
      <c r="G9" s="49"/>
      <c r="H9" s="52"/>
      <c r="I9" s="47"/>
      <c r="K9" s="198"/>
      <c r="L9" s="44" t="s">
        <v>133</v>
      </c>
      <c r="M9" s="30"/>
      <c r="N9" s="50"/>
      <c r="O9" s="49"/>
      <c r="P9" s="49"/>
      <c r="Q9" s="52"/>
      <c r="R9" s="47"/>
    </row>
    <row r="10" spans="2:18" ht="33" customHeight="1" x14ac:dyDescent="0.3">
      <c r="B10" s="198"/>
      <c r="C10" s="44" t="s">
        <v>132</v>
      </c>
      <c r="D10" s="30"/>
      <c r="E10" s="50"/>
      <c r="F10" s="50"/>
      <c r="G10" s="49"/>
      <c r="H10" s="49"/>
      <c r="I10" s="52"/>
      <c r="K10" s="198"/>
      <c r="L10" s="44" t="s">
        <v>132</v>
      </c>
      <c r="M10" s="30"/>
      <c r="N10" s="50"/>
      <c r="O10" s="50"/>
      <c r="P10" s="49"/>
      <c r="Q10" s="49"/>
      <c r="R10" s="52"/>
    </row>
    <row r="11" spans="2:18" ht="33" customHeight="1" x14ac:dyDescent="0.3">
      <c r="B11" s="198"/>
      <c r="C11" s="44" t="s">
        <v>14</v>
      </c>
      <c r="D11" s="30"/>
      <c r="E11" s="48"/>
      <c r="F11" s="50"/>
      <c r="G11" s="50"/>
      <c r="H11" s="49"/>
      <c r="I11" s="49"/>
      <c r="K11" s="198"/>
      <c r="L11" s="44" t="s">
        <v>14</v>
      </c>
      <c r="M11" s="30"/>
      <c r="N11" s="48"/>
      <c r="O11" s="50"/>
      <c r="P11" s="50"/>
      <c r="Q11" s="49"/>
      <c r="R11" s="49"/>
    </row>
    <row r="12" spans="2:18" ht="33" customHeight="1" x14ac:dyDescent="0.3">
      <c r="B12" s="198"/>
      <c r="C12" s="44" t="s">
        <v>8</v>
      </c>
      <c r="D12" s="30"/>
      <c r="E12" s="48"/>
      <c r="F12" s="48"/>
      <c r="G12" s="50"/>
      <c r="H12" s="50"/>
      <c r="I12" s="49"/>
      <c r="K12" s="198"/>
      <c r="L12" s="44" t="s">
        <v>8</v>
      </c>
      <c r="M12" s="30"/>
      <c r="N12" s="48"/>
      <c r="O12" s="48"/>
      <c r="P12" s="50"/>
      <c r="Q12" s="50"/>
      <c r="R12" s="49"/>
    </row>
    <row r="15" spans="2:18" x14ac:dyDescent="0.3">
      <c r="E15" s="48" t="s">
        <v>50</v>
      </c>
      <c r="F15" s="125">
        <v>0</v>
      </c>
      <c r="N15" s="48" t="s">
        <v>50</v>
      </c>
      <c r="O15" s="124">
        <v>0</v>
      </c>
    </row>
    <row r="16" spans="2:18" x14ac:dyDescent="0.3">
      <c r="E16" s="50" t="s">
        <v>137</v>
      </c>
      <c r="F16" s="125">
        <v>0</v>
      </c>
      <c r="N16" s="50" t="s">
        <v>137</v>
      </c>
      <c r="O16" s="124">
        <v>1</v>
      </c>
    </row>
    <row r="17" spans="5:15" x14ac:dyDescent="0.3">
      <c r="E17" s="49" t="s">
        <v>135</v>
      </c>
      <c r="F17" s="125">
        <v>1</v>
      </c>
      <c r="N17" s="49" t="s">
        <v>135</v>
      </c>
      <c r="O17" s="124">
        <v>1</v>
      </c>
    </row>
    <row r="18" spans="5:15" x14ac:dyDescent="0.3">
      <c r="E18" s="52" t="s">
        <v>138</v>
      </c>
      <c r="F18" s="125">
        <v>0</v>
      </c>
      <c r="N18" s="52" t="s">
        <v>138</v>
      </c>
      <c r="O18" s="124">
        <v>0</v>
      </c>
    </row>
    <row r="19" spans="5:15" x14ac:dyDescent="0.3">
      <c r="E19" s="47" t="s">
        <v>136</v>
      </c>
      <c r="F19" s="125">
        <v>1</v>
      </c>
      <c r="N19" s="47" t="s">
        <v>136</v>
      </c>
      <c r="O19" s="124">
        <v>0</v>
      </c>
    </row>
  </sheetData>
  <mergeCells count="6">
    <mergeCell ref="E5:I5"/>
    <mergeCell ref="B8:B12"/>
    <mergeCell ref="E2:I2"/>
    <mergeCell ref="N2:R2"/>
    <mergeCell ref="N5:R5"/>
    <mergeCell ref="K8:K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32"/>
  <sheetViews>
    <sheetView showGridLines="0" workbookViewId="0">
      <selection activeCell="D13" sqref="D13"/>
    </sheetView>
  </sheetViews>
  <sheetFormatPr baseColWidth="10" defaultColWidth="11.44140625" defaultRowHeight="12" x14ac:dyDescent="0.25"/>
  <cols>
    <col min="1" max="1" width="6.44140625" style="1" customWidth="1"/>
    <col min="2" max="2" width="13.33203125" style="1" customWidth="1"/>
    <col min="3" max="3" width="18.44140625" style="1" customWidth="1"/>
    <col min="4" max="4" width="12" style="1" bestFit="1" customWidth="1"/>
    <col min="5" max="6" width="10.44140625" style="1" customWidth="1"/>
    <col min="7" max="7" width="11.44140625" style="1"/>
    <col min="8" max="8" width="19" style="1" customWidth="1"/>
    <col min="9" max="10" width="11.44140625" style="1"/>
    <col min="11" max="11" width="3" style="1" customWidth="1"/>
    <col min="12" max="12" width="11.44140625" style="1"/>
    <col min="13" max="13" width="60.44140625" style="1" customWidth="1"/>
    <col min="14" max="16384" width="11.44140625" style="1"/>
  </cols>
  <sheetData>
    <row r="2" spans="1:11" x14ac:dyDescent="0.25">
      <c r="A2" s="7"/>
      <c r="B2" s="8" t="s">
        <v>40</v>
      </c>
      <c r="C2" s="8"/>
    </row>
    <row r="3" spans="1:11" x14ac:dyDescent="0.25">
      <c r="A3" s="7"/>
    </row>
    <row r="4" spans="1:11" ht="28.5" customHeight="1" x14ac:dyDescent="0.25">
      <c r="A4" s="7"/>
      <c r="B4" s="127" t="s">
        <v>0</v>
      </c>
      <c r="C4" s="46">
        <v>21</v>
      </c>
      <c r="D4" s="46">
        <v>22</v>
      </c>
      <c r="G4" s="127" t="s">
        <v>2</v>
      </c>
      <c r="H4" s="200" t="e">
        <f>+VLOOKUP(C4,'Matriz de Riesgos'!$A$7:$F$505,7,FALSE)</f>
        <v>#N/A</v>
      </c>
      <c r="I4" s="201"/>
      <c r="J4" s="202"/>
    </row>
    <row r="5" spans="1:11" ht="24.75" customHeight="1" x14ac:dyDescent="0.25">
      <c r="A5" s="7"/>
      <c r="B5" s="128" t="s">
        <v>35</v>
      </c>
      <c r="C5" s="206" t="e">
        <f>+VLOOKUP(C4,'Matriz de Riesgos'!$A$7:$F$505,8,FALSE)</f>
        <v>#N/A</v>
      </c>
      <c r="D5" s="207"/>
      <c r="E5" s="207"/>
      <c r="F5" s="207"/>
      <c r="G5" s="207"/>
      <c r="H5" s="207"/>
      <c r="I5" s="207"/>
      <c r="J5" s="208"/>
    </row>
    <row r="6" spans="1:11" x14ac:dyDescent="0.25">
      <c r="A6" s="7"/>
    </row>
    <row r="7" spans="1:11" x14ac:dyDescent="0.25">
      <c r="A7" s="7"/>
      <c r="B7" s="8" t="s">
        <v>48</v>
      </c>
      <c r="C7" s="8"/>
      <c r="F7" s="8" t="s">
        <v>49</v>
      </c>
    </row>
    <row r="8" spans="1:11" x14ac:dyDescent="0.25">
      <c r="A8" s="7"/>
      <c r="B8" s="9"/>
      <c r="C8" s="9"/>
    </row>
    <row r="9" spans="1:11" x14ac:dyDescent="0.25">
      <c r="A9" s="7"/>
      <c r="B9" s="209" t="s">
        <v>173</v>
      </c>
      <c r="C9" s="210"/>
      <c r="D9" s="66">
        <v>4150</v>
      </c>
      <c r="E9" s="7"/>
      <c r="F9" s="10" t="s">
        <v>41</v>
      </c>
      <c r="G9" s="211" t="s">
        <v>306</v>
      </c>
      <c r="H9" s="212"/>
      <c r="I9" s="212"/>
      <c r="J9" s="212"/>
      <c r="K9" s="213"/>
    </row>
    <row r="10" spans="1:11" x14ac:dyDescent="0.25">
      <c r="A10" s="7"/>
      <c r="B10" s="209" t="s">
        <v>175</v>
      </c>
      <c r="C10" s="210"/>
      <c r="D10" s="67">
        <v>6</v>
      </c>
      <c r="E10" s="7"/>
      <c r="F10" s="10" t="s">
        <v>42</v>
      </c>
      <c r="G10" s="211" t="s">
        <v>307</v>
      </c>
      <c r="H10" s="212"/>
      <c r="I10" s="212"/>
      <c r="J10" s="212"/>
      <c r="K10" s="213"/>
    </row>
    <row r="11" spans="1:11" x14ac:dyDescent="0.25">
      <c r="A11" s="7"/>
      <c r="B11" s="209" t="s">
        <v>253</v>
      </c>
      <c r="C11" s="210"/>
      <c r="D11" s="67">
        <v>9</v>
      </c>
      <c r="E11" s="7"/>
      <c r="F11" s="10" t="s">
        <v>43</v>
      </c>
      <c r="G11" s="211" t="s">
        <v>308</v>
      </c>
      <c r="H11" s="214"/>
      <c r="I11" s="214"/>
      <c r="J11" s="214"/>
      <c r="K11" s="215"/>
    </row>
    <row r="12" spans="1:11" x14ac:dyDescent="0.25">
      <c r="A12" s="7"/>
      <c r="B12" s="216"/>
      <c r="C12" s="217"/>
      <c r="D12" s="11"/>
      <c r="E12" s="7"/>
      <c r="F12" s="10" t="s">
        <v>44</v>
      </c>
      <c r="G12" s="211"/>
      <c r="H12" s="214"/>
      <c r="I12" s="214"/>
      <c r="J12" s="214"/>
      <c r="K12" s="215"/>
    </row>
    <row r="13" spans="1:11" x14ac:dyDescent="0.25">
      <c r="A13" s="7"/>
      <c r="B13" s="216"/>
      <c r="C13" s="217"/>
      <c r="D13" s="135"/>
      <c r="E13" s="7"/>
      <c r="F13" s="10" t="s">
        <v>45</v>
      </c>
      <c r="G13" s="211"/>
      <c r="H13" s="214"/>
      <c r="I13" s="214"/>
      <c r="J13" s="214"/>
      <c r="K13" s="215"/>
    </row>
    <row r="14" spans="1:11" x14ac:dyDescent="0.25">
      <c r="A14" s="7"/>
      <c r="B14" s="8" t="s">
        <v>46</v>
      </c>
      <c r="C14" s="8"/>
    </row>
    <row r="15" spans="1:11" ht="5.25" customHeight="1" x14ac:dyDescent="0.25">
      <c r="A15" s="7"/>
    </row>
    <row r="16" spans="1:11" x14ac:dyDescent="0.25">
      <c r="A16" s="7"/>
      <c r="B16" s="14" t="s">
        <v>47</v>
      </c>
      <c r="C16" s="13"/>
      <c r="D16" s="64">
        <f>+D10*D9*D11</f>
        <v>224100</v>
      </c>
    </row>
    <row r="17" spans="1:12" x14ac:dyDescent="0.2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</row>
    <row r="19" spans="1:12" ht="28.5" customHeight="1" x14ac:dyDescent="0.25">
      <c r="B19" s="127" t="s">
        <v>0</v>
      </c>
      <c r="C19" s="46">
        <v>23</v>
      </c>
      <c r="D19" s="126"/>
      <c r="E19" s="126"/>
      <c r="G19" s="129" t="s">
        <v>2</v>
      </c>
      <c r="H19" s="203" t="e">
        <f>+VLOOKUP(C19,'Matriz de Riesgos'!$A$7:$F$505,7,FALSE)</f>
        <v>#N/A</v>
      </c>
      <c r="I19" s="204"/>
      <c r="J19" s="205"/>
    </row>
    <row r="20" spans="1:12" ht="33.75" customHeight="1" x14ac:dyDescent="0.25">
      <c r="B20" s="128" t="s">
        <v>35</v>
      </c>
      <c r="C20" s="206" t="e">
        <f>+VLOOKUP(C19,'Matriz de Riesgos'!$A$7:$F$505,8,FALSE)</f>
        <v>#N/A</v>
      </c>
      <c r="D20" s="207"/>
      <c r="E20" s="207"/>
      <c r="F20" s="207"/>
      <c r="G20" s="207"/>
      <c r="H20" s="207"/>
      <c r="I20" s="207"/>
      <c r="J20" s="208"/>
    </row>
    <row r="22" spans="1:12" x14ac:dyDescent="0.25">
      <c r="B22" s="8" t="s">
        <v>48</v>
      </c>
      <c r="C22" s="8"/>
      <c r="F22" s="8" t="s">
        <v>49</v>
      </c>
    </row>
    <row r="23" spans="1:12" x14ac:dyDescent="0.25">
      <c r="B23" s="9"/>
      <c r="C23" s="9"/>
    </row>
    <row r="24" spans="1:12" ht="12" customHeight="1" x14ac:dyDescent="0.25">
      <c r="B24" s="209" t="s">
        <v>173</v>
      </c>
      <c r="C24" s="210"/>
      <c r="D24" s="66">
        <v>4150</v>
      </c>
      <c r="E24" s="7"/>
      <c r="F24" s="10" t="s">
        <v>41</v>
      </c>
      <c r="G24" s="211" t="s">
        <v>306</v>
      </c>
      <c r="H24" s="212"/>
      <c r="I24" s="212"/>
      <c r="J24" s="212"/>
      <c r="K24" s="213"/>
    </row>
    <row r="25" spans="1:12" ht="12" customHeight="1" x14ac:dyDescent="0.25">
      <c r="B25" s="209" t="s">
        <v>175</v>
      </c>
      <c r="C25" s="210"/>
      <c r="D25" s="67">
        <v>4</v>
      </c>
      <c r="E25" s="7"/>
      <c r="F25" s="10" t="s">
        <v>42</v>
      </c>
      <c r="G25" s="211" t="s">
        <v>307</v>
      </c>
      <c r="H25" s="212"/>
      <c r="I25" s="212"/>
      <c r="J25" s="212"/>
      <c r="K25" s="213"/>
    </row>
    <row r="26" spans="1:12" x14ac:dyDescent="0.25">
      <c r="B26" s="209" t="s">
        <v>253</v>
      </c>
      <c r="C26" s="210"/>
      <c r="D26" s="67">
        <v>12</v>
      </c>
      <c r="E26" s="7"/>
      <c r="F26" s="10" t="s">
        <v>43</v>
      </c>
      <c r="G26" s="211" t="s">
        <v>308</v>
      </c>
      <c r="H26" s="214"/>
      <c r="I26" s="214"/>
      <c r="J26" s="214"/>
      <c r="K26" s="215"/>
    </row>
    <row r="27" spans="1:12" x14ac:dyDescent="0.25">
      <c r="B27" s="216"/>
      <c r="C27" s="217"/>
      <c r="D27" s="11"/>
      <c r="E27" s="7"/>
      <c r="F27" s="10" t="s">
        <v>44</v>
      </c>
      <c r="G27" s="211"/>
      <c r="H27" s="214"/>
      <c r="I27" s="214"/>
      <c r="J27" s="214"/>
      <c r="K27" s="215"/>
    </row>
    <row r="28" spans="1:12" x14ac:dyDescent="0.25">
      <c r="B28" s="216"/>
      <c r="C28" s="217"/>
      <c r="D28" s="12"/>
      <c r="E28" s="7"/>
      <c r="F28" s="10" t="s">
        <v>45</v>
      </c>
      <c r="G28" s="211"/>
      <c r="H28" s="214"/>
      <c r="I28" s="214"/>
      <c r="J28" s="214"/>
      <c r="K28" s="215"/>
    </row>
    <row r="29" spans="1:12" x14ac:dyDescent="0.25">
      <c r="B29" s="8" t="s">
        <v>46</v>
      </c>
      <c r="C29" s="8"/>
    </row>
    <row r="30" spans="1:12" ht="3.75" customHeight="1" x14ac:dyDescent="0.25"/>
    <row r="31" spans="1:12" x14ac:dyDescent="0.25">
      <c r="B31" s="14" t="s">
        <v>47</v>
      </c>
      <c r="C31" s="13"/>
      <c r="D31" s="64">
        <f>D24*D25*D26</f>
        <v>199200</v>
      </c>
    </row>
    <row r="32" spans="1:12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</row>
  </sheetData>
  <mergeCells count="24">
    <mergeCell ref="B28:C28"/>
    <mergeCell ref="G28:K28"/>
    <mergeCell ref="B25:C25"/>
    <mergeCell ref="G25:K25"/>
    <mergeCell ref="B26:C26"/>
    <mergeCell ref="G26:K26"/>
    <mergeCell ref="B27:C27"/>
    <mergeCell ref="G27:K27"/>
    <mergeCell ref="H4:J4"/>
    <mergeCell ref="H19:J19"/>
    <mergeCell ref="C20:J20"/>
    <mergeCell ref="B24:C24"/>
    <mergeCell ref="G24:K24"/>
    <mergeCell ref="C5:J5"/>
    <mergeCell ref="B9:C9"/>
    <mergeCell ref="B10:C10"/>
    <mergeCell ref="G13:K13"/>
    <mergeCell ref="B12:C12"/>
    <mergeCell ref="B13:C13"/>
    <mergeCell ref="B11:C11"/>
    <mergeCell ref="G9:K9"/>
    <mergeCell ref="G10:K10"/>
    <mergeCell ref="G11:K11"/>
    <mergeCell ref="G12:K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A7"/>
  <sheetViews>
    <sheetView zoomScaleNormal="100" workbookViewId="0">
      <selection activeCell="AZ4" sqref="AZ4"/>
    </sheetView>
  </sheetViews>
  <sheetFormatPr baseColWidth="10" defaultColWidth="11.44140625" defaultRowHeight="13.2" x14ac:dyDescent="0.25"/>
  <cols>
    <col min="1" max="1" width="4" style="78" customWidth="1"/>
    <col min="2" max="2" width="14.109375" style="78" bestFit="1" customWidth="1"/>
    <col min="3" max="6" width="11.44140625" style="78" customWidth="1"/>
    <col min="7" max="7" width="36" style="78" bestFit="1" customWidth="1"/>
    <col min="8" max="8" width="35.44140625" style="78" customWidth="1"/>
    <col min="9" max="9" width="14.44140625" style="78" hidden="1" customWidth="1"/>
    <col min="10" max="10" width="14.33203125" style="78" hidden="1" customWidth="1"/>
    <col min="11" max="11" width="13.77734375" style="78" hidden="1" customWidth="1"/>
    <col min="12" max="12" width="12.44140625" style="78" hidden="1" customWidth="1"/>
    <col min="13" max="13" width="10.6640625" style="78" hidden="1" customWidth="1"/>
    <col min="14" max="14" width="13.44140625" style="78" hidden="1" customWidth="1"/>
    <col min="15" max="15" width="12.77734375" style="78" hidden="1" customWidth="1"/>
    <col min="16" max="16" width="13.109375" style="78" hidden="1" customWidth="1"/>
    <col min="17" max="22" width="11.44140625" style="78" hidden="1" customWidth="1"/>
    <col min="23" max="23" width="13.6640625" style="78" bestFit="1" customWidth="1"/>
    <col min="24" max="24" width="15.6640625" style="78" bestFit="1" customWidth="1"/>
    <col min="25" max="26" width="11.44140625" style="78" customWidth="1"/>
    <col min="27" max="27" width="13.109375" style="78" bestFit="1" customWidth="1"/>
    <col min="28" max="35" width="11.44140625" style="78" hidden="1" customWidth="1"/>
    <col min="36" max="36" width="12.109375" style="78" hidden="1" customWidth="1"/>
    <col min="37" max="40" width="11.44140625" style="78" hidden="1" customWidth="1"/>
    <col min="41" max="41" width="13.109375" style="78" hidden="1" customWidth="1"/>
    <col min="42" max="42" width="11.44140625" style="78" hidden="1" customWidth="1"/>
    <col min="43" max="43" width="37.109375" style="78" hidden="1" customWidth="1"/>
    <col min="44" max="49" width="11.44140625" style="78" hidden="1" customWidth="1"/>
    <col min="50" max="50" width="15.33203125" style="78" hidden="1" customWidth="1"/>
    <col min="51" max="51" width="11.44140625" style="78" hidden="1" customWidth="1"/>
    <col min="52" max="52" width="11.44140625" style="78" customWidth="1"/>
    <col min="53" max="16384" width="11.44140625" style="78"/>
  </cols>
  <sheetData>
    <row r="3" spans="1:53" ht="56.25" customHeight="1" x14ac:dyDescent="0.25">
      <c r="A3" s="68"/>
      <c r="B3" s="69" t="s">
        <v>177</v>
      </c>
      <c r="C3" s="69" t="s">
        <v>178</v>
      </c>
      <c r="D3" s="69" t="s">
        <v>179</v>
      </c>
      <c r="E3" s="69" t="s">
        <v>180</v>
      </c>
      <c r="F3" s="69" t="s">
        <v>181</v>
      </c>
      <c r="G3" s="69" t="s">
        <v>182</v>
      </c>
      <c r="H3" s="69" t="s">
        <v>183</v>
      </c>
      <c r="I3" s="70" t="s">
        <v>184</v>
      </c>
      <c r="J3" s="70" t="s">
        <v>185</v>
      </c>
      <c r="K3" s="70" t="s">
        <v>186</v>
      </c>
      <c r="L3" s="70" t="s">
        <v>187</v>
      </c>
      <c r="M3" s="70" t="s">
        <v>188</v>
      </c>
      <c r="N3" s="70" t="s">
        <v>189</v>
      </c>
      <c r="O3" s="70" t="s">
        <v>190</v>
      </c>
      <c r="P3" s="70" t="s">
        <v>191</v>
      </c>
      <c r="Q3" s="70" t="s">
        <v>192</v>
      </c>
      <c r="R3" s="70" t="s">
        <v>193</v>
      </c>
      <c r="S3" s="70" t="s">
        <v>194</v>
      </c>
      <c r="T3" s="70" t="s">
        <v>195</v>
      </c>
      <c r="U3" s="70" t="s">
        <v>195</v>
      </c>
      <c r="V3" s="71" t="s">
        <v>196</v>
      </c>
      <c r="W3" s="72" t="s">
        <v>314</v>
      </c>
      <c r="X3" s="72" t="s">
        <v>197</v>
      </c>
      <c r="Y3" s="73" t="s">
        <v>198</v>
      </c>
      <c r="Z3" s="73" t="s">
        <v>199</v>
      </c>
      <c r="AA3" s="73" t="s">
        <v>201</v>
      </c>
      <c r="AB3" s="73" t="s">
        <v>202</v>
      </c>
      <c r="AC3" s="74" t="s">
        <v>203</v>
      </c>
      <c r="AD3" s="73" t="s">
        <v>204</v>
      </c>
      <c r="AE3" s="75" t="s">
        <v>205</v>
      </c>
      <c r="AF3" s="73" t="s">
        <v>206</v>
      </c>
      <c r="AG3" s="73" t="s">
        <v>207</v>
      </c>
      <c r="AH3" s="73" t="s">
        <v>208</v>
      </c>
      <c r="AI3" s="73" t="s">
        <v>200</v>
      </c>
      <c r="AJ3" s="73" t="s">
        <v>209</v>
      </c>
      <c r="AK3" s="73" t="s">
        <v>210</v>
      </c>
      <c r="AL3" s="73" t="s">
        <v>202</v>
      </c>
      <c r="AM3" s="73" t="s">
        <v>203</v>
      </c>
      <c r="AN3" s="73" t="s">
        <v>211</v>
      </c>
      <c r="AO3" s="73" t="s">
        <v>212</v>
      </c>
      <c r="AP3" s="73" t="s">
        <v>213</v>
      </c>
      <c r="AQ3" s="76" t="s">
        <v>214</v>
      </c>
      <c r="AR3" s="76" t="s">
        <v>215</v>
      </c>
      <c r="AS3" s="76" t="s">
        <v>216</v>
      </c>
      <c r="AT3" s="76" t="s">
        <v>217</v>
      </c>
      <c r="AU3" s="76" t="s">
        <v>218</v>
      </c>
      <c r="AV3" s="76" t="s">
        <v>219</v>
      </c>
      <c r="AW3" s="77" t="s">
        <v>220</v>
      </c>
      <c r="AX3" s="77" t="s">
        <v>221</v>
      </c>
      <c r="AY3" s="77" t="s">
        <v>222</v>
      </c>
      <c r="AZ3" s="77" t="s">
        <v>223</v>
      </c>
      <c r="BA3" s="77" t="s">
        <v>249</v>
      </c>
    </row>
    <row r="4" spans="1:53" ht="48" x14ac:dyDescent="0.25">
      <c r="A4" s="68"/>
      <c r="B4" s="79" t="s">
        <v>317</v>
      </c>
      <c r="C4" s="79" t="s">
        <v>224</v>
      </c>
      <c r="D4" s="80">
        <v>43113</v>
      </c>
      <c r="E4" s="80">
        <v>43152</v>
      </c>
      <c r="F4" s="80">
        <v>43353</v>
      </c>
      <c r="G4" s="105" t="s">
        <v>309</v>
      </c>
      <c r="H4" s="81" t="s">
        <v>313</v>
      </c>
      <c r="I4" s="82" t="s">
        <v>225</v>
      </c>
      <c r="J4" s="83">
        <v>3</v>
      </c>
      <c r="K4" s="82" t="s">
        <v>225</v>
      </c>
      <c r="L4" s="83">
        <v>10</v>
      </c>
      <c r="M4" s="83">
        <v>7</v>
      </c>
      <c r="N4" s="82" t="s">
        <v>12</v>
      </c>
      <c r="O4" s="83">
        <v>15</v>
      </c>
      <c r="P4" s="84" t="s">
        <v>13</v>
      </c>
      <c r="Q4" s="83">
        <v>28</v>
      </c>
      <c r="R4" s="82" t="s">
        <v>226</v>
      </c>
      <c r="S4" s="83">
        <v>9</v>
      </c>
      <c r="T4" s="82" t="s">
        <v>227</v>
      </c>
      <c r="U4" s="82" t="s">
        <v>227</v>
      </c>
      <c r="V4" s="82" t="s">
        <v>228</v>
      </c>
      <c r="W4" s="82"/>
      <c r="X4" s="82"/>
      <c r="Y4" s="83" t="s">
        <v>229</v>
      </c>
      <c r="Z4" s="85">
        <v>7161</v>
      </c>
      <c r="AA4" s="107">
        <v>7161</v>
      </c>
      <c r="AB4" s="88" t="s">
        <v>230</v>
      </c>
      <c r="AC4" s="89" t="s">
        <v>231</v>
      </c>
      <c r="AD4" s="90" t="s">
        <v>232</v>
      </c>
      <c r="AE4" s="91" t="s">
        <v>233</v>
      </c>
      <c r="AF4" s="79" t="s">
        <v>234</v>
      </c>
      <c r="AG4" s="86">
        <v>0</v>
      </c>
      <c r="AH4" s="87">
        <v>0</v>
      </c>
      <c r="AI4" s="87">
        <v>1</v>
      </c>
      <c r="AJ4" s="87">
        <v>0</v>
      </c>
      <c r="AK4" s="86">
        <v>0</v>
      </c>
      <c r="AL4" s="92" t="s">
        <v>234</v>
      </c>
      <c r="AM4" s="92" t="s">
        <v>234</v>
      </c>
      <c r="AN4" s="92" t="s">
        <v>234</v>
      </c>
      <c r="AO4" s="93">
        <v>7161</v>
      </c>
      <c r="AP4" s="86">
        <v>2549.3058027767888</v>
      </c>
      <c r="AQ4" s="79" t="s">
        <v>235</v>
      </c>
      <c r="AR4" s="94" t="s">
        <v>236</v>
      </c>
      <c r="AS4" s="79" t="s">
        <v>234</v>
      </c>
      <c r="AT4" s="79" t="s">
        <v>155</v>
      </c>
      <c r="AU4" s="79" t="s">
        <v>36</v>
      </c>
      <c r="AV4" s="79"/>
      <c r="AW4" s="95"/>
      <c r="AX4" s="96"/>
      <c r="AY4" s="97" t="s">
        <v>237</v>
      </c>
      <c r="AZ4" s="108">
        <v>43101</v>
      </c>
      <c r="BA4" s="98"/>
    </row>
    <row r="5" spans="1:53" ht="36" x14ac:dyDescent="0.25">
      <c r="B5" s="79" t="s">
        <v>318</v>
      </c>
      <c r="C5" s="100" t="s">
        <v>224</v>
      </c>
      <c r="D5" s="80">
        <v>43238</v>
      </c>
      <c r="E5" s="99">
        <v>43416</v>
      </c>
      <c r="F5" s="80">
        <v>43136</v>
      </c>
      <c r="G5" s="106" t="s">
        <v>310</v>
      </c>
      <c r="H5" s="82" t="s">
        <v>321</v>
      </c>
      <c r="I5" s="83" t="s">
        <v>225</v>
      </c>
      <c r="J5" s="83">
        <v>3</v>
      </c>
      <c r="K5" s="83" t="s">
        <v>225</v>
      </c>
      <c r="L5" s="83">
        <v>10</v>
      </c>
      <c r="M5" s="83">
        <v>4</v>
      </c>
      <c r="N5" s="84" t="s">
        <v>16</v>
      </c>
      <c r="O5" s="83">
        <v>10</v>
      </c>
      <c r="P5" s="82" t="s">
        <v>105</v>
      </c>
      <c r="Q5" s="83">
        <v>26</v>
      </c>
      <c r="R5" s="84" t="s">
        <v>240</v>
      </c>
      <c r="S5" s="83">
        <v>9</v>
      </c>
      <c r="T5" s="84" t="s">
        <v>227</v>
      </c>
      <c r="U5" s="82" t="s">
        <v>227</v>
      </c>
      <c r="V5" s="82" t="s">
        <v>228</v>
      </c>
      <c r="W5" s="82"/>
      <c r="X5" s="82"/>
      <c r="Y5" s="83" t="s">
        <v>229</v>
      </c>
      <c r="Z5" s="85">
        <v>7681.93</v>
      </c>
      <c r="AA5" s="107">
        <v>7681.93</v>
      </c>
      <c r="AB5" s="88">
        <v>42510</v>
      </c>
      <c r="AC5" s="79">
        <v>7</v>
      </c>
      <c r="AD5" s="90" t="s">
        <v>238</v>
      </c>
      <c r="AE5" s="90">
        <v>26</v>
      </c>
      <c r="AF5" s="79" t="s">
        <v>234</v>
      </c>
      <c r="AG5" s="86">
        <v>0</v>
      </c>
      <c r="AH5" s="87">
        <v>0</v>
      </c>
      <c r="AI5" s="87">
        <v>3.3410000000000002</v>
      </c>
      <c r="AJ5" s="87">
        <v>0</v>
      </c>
      <c r="AK5" s="86">
        <v>0</v>
      </c>
      <c r="AL5" s="92" t="s">
        <v>234</v>
      </c>
      <c r="AM5" s="92" t="s">
        <v>239</v>
      </c>
      <c r="AN5" s="92" t="s">
        <v>234</v>
      </c>
      <c r="AO5" s="93">
        <v>7681.93</v>
      </c>
      <c r="AP5" s="86">
        <v>2299.2906315474406</v>
      </c>
      <c r="AQ5" s="83" t="s">
        <v>241</v>
      </c>
      <c r="AR5" s="94" t="s">
        <v>242</v>
      </c>
      <c r="AS5" s="79" t="s">
        <v>155</v>
      </c>
      <c r="AT5" s="79" t="s">
        <v>155</v>
      </c>
      <c r="AU5" s="79" t="s">
        <v>37</v>
      </c>
      <c r="AV5" s="79"/>
      <c r="AW5" s="99"/>
      <c r="AX5" s="101"/>
      <c r="AY5" s="97" t="s">
        <v>237</v>
      </c>
      <c r="AZ5" s="108">
        <v>43221</v>
      </c>
      <c r="BA5" s="98"/>
    </row>
    <row r="6" spans="1:53" ht="48" x14ac:dyDescent="0.25">
      <c r="B6" s="79" t="s">
        <v>319</v>
      </c>
      <c r="C6" s="83" t="s">
        <v>315</v>
      </c>
      <c r="D6" s="80">
        <v>43636</v>
      </c>
      <c r="E6" s="80">
        <v>43565</v>
      </c>
      <c r="F6" s="80">
        <v>43683</v>
      </c>
      <c r="G6" s="106" t="s">
        <v>311</v>
      </c>
      <c r="H6" s="82" t="s">
        <v>322</v>
      </c>
      <c r="I6" s="83" t="s">
        <v>225</v>
      </c>
      <c r="J6" s="83">
        <v>3</v>
      </c>
      <c r="K6" s="83" t="s">
        <v>225</v>
      </c>
      <c r="L6" s="83">
        <v>10</v>
      </c>
      <c r="M6" s="83">
        <v>4</v>
      </c>
      <c r="N6" s="84" t="s">
        <v>16</v>
      </c>
      <c r="O6" s="83">
        <v>9</v>
      </c>
      <c r="P6" s="82" t="s">
        <v>17</v>
      </c>
      <c r="Q6" s="83">
        <v>14</v>
      </c>
      <c r="R6" s="84" t="s">
        <v>243</v>
      </c>
      <c r="S6" s="83">
        <v>9</v>
      </c>
      <c r="T6" s="84" t="s">
        <v>227</v>
      </c>
      <c r="U6" s="82" t="s">
        <v>227</v>
      </c>
      <c r="V6" s="82" t="s">
        <v>228</v>
      </c>
      <c r="W6" s="82"/>
      <c r="X6" s="82"/>
      <c r="Y6" s="83" t="s">
        <v>229</v>
      </c>
      <c r="Z6" s="85">
        <v>8923.5</v>
      </c>
      <c r="AA6" s="107">
        <v>8923.5</v>
      </c>
      <c r="AB6" s="88" t="s">
        <v>244</v>
      </c>
      <c r="AC6" s="79" t="s">
        <v>245</v>
      </c>
      <c r="AD6" s="102" t="s">
        <v>232</v>
      </c>
      <c r="AE6" s="90">
        <v>26</v>
      </c>
      <c r="AF6" s="79" t="s">
        <v>234</v>
      </c>
      <c r="AG6" s="86">
        <v>0</v>
      </c>
      <c r="AH6" s="87">
        <v>0</v>
      </c>
      <c r="AI6" s="87">
        <v>1</v>
      </c>
      <c r="AJ6" s="87">
        <v>0</v>
      </c>
      <c r="AK6" s="86">
        <v>0</v>
      </c>
      <c r="AL6" s="92" t="s">
        <v>234</v>
      </c>
      <c r="AM6" s="92" t="s">
        <v>239</v>
      </c>
      <c r="AN6" s="92" t="s">
        <v>234</v>
      </c>
      <c r="AO6" s="93">
        <v>8923.5</v>
      </c>
      <c r="AP6" s="86">
        <v>2687.6976881272108</v>
      </c>
      <c r="AQ6" s="83" t="s">
        <v>235</v>
      </c>
      <c r="AR6" s="94" t="s">
        <v>246</v>
      </c>
      <c r="AS6" s="79" t="s">
        <v>155</v>
      </c>
      <c r="AT6" s="79" t="s">
        <v>155</v>
      </c>
      <c r="AU6" s="79" t="s">
        <v>38</v>
      </c>
      <c r="AV6" s="79"/>
      <c r="AW6" s="103"/>
      <c r="AX6" s="104"/>
      <c r="AY6" s="94" t="s">
        <v>237</v>
      </c>
      <c r="AZ6" s="108">
        <v>43617</v>
      </c>
      <c r="BA6" s="98"/>
    </row>
    <row r="7" spans="1:53" ht="48" x14ac:dyDescent="0.25">
      <c r="B7" s="79" t="s">
        <v>320</v>
      </c>
      <c r="C7" s="83" t="s">
        <v>316</v>
      </c>
      <c r="D7" s="80">
        <v>43766</v>
      </c>
      <c r="E7" s="80">
        <v>43656</v>
      </c>
      <c r="F7" s="80">
        <v>43801</v>
      </c>
      <c r="G7" s="106" t="s">
        <v>312</v>
      </c>
      <c r="H7" s="82" t="s">
        <v>323</v>
      </c>
      <c r="I7" s="83" t="s">
        <v>225</v>
      </c>
      <c r="J7" s="83">
        <v>3</v>
      </c>
      <c r="K7" s="83" t="s">
        <v>225</v>
      </c>
      <c r="L7" s="83">
        <v>10</v>
      </c>
      <c r="M7" s="83">
        <v>4</v>
      </c>
      <c r="N7" s="84" t="s">
        <v>16</v>
      </c>
      <c r="O7" s="83">
        <v>9</v>
      </c>
      <c r="P7" s="82" t="s">
        <v>17</v>
      </c>
      <c r="Q7" s="83">
        <v>14</v>
      </c>
      <c r="R7" s="84" t="s">
        <v>243</v>
      </c>
      <c r="S7" s="83">
        <v>9</v>
      </c>
      <c r="T7" s="84" t="s">
        <v>227</v>
      </c>
      <c r="U7" s="82" t="s">
        <v>227</v>
      </c>
      <c r="V7" s="82" t="s">
        <v>228</v>
      </c>
      <c r="W7" s="82"/>
      <c r="X7" s="82"/>
      <c r="Y7" s="83" t="s">
        <v>229</v>
      </c>
      <c r="Z7" s="85">
        <v>5961</v>
      </c>
      <c r="AA7" s="107">
        <v>5961</v>
      </c>
      <c r="AB7" s="88">
        <v>42671</v>
      </c>
      <c r="AC7" s="94" t="s">
        <v>247</v>
      </c>
      <c r="AD7" s="102" t="s">
        <v>232</v>
      </c>
      <c r="AE7" s="90">
        <v>26</v>
      </c>
      <c r="AF7" s="79" t="s">
        <v>234</v>
      </c>
      <c r="AG7" s="86">
        <v>0</v>
      </c>
      <c r="AH7" s="87">
        <v>0</v>
      </c>
      <c r="AI7" s="87">
        <v>1</v>
      </c>
      <c r="AJ7" s="87">
        <v>0</v>
      </c>
      <c r="AK7" s="86">
        <v>0</v>
      </c>
      <c r="AL7" s="92" t="s">
        <v>234</v>
      </c>
      <c r="AM7" s="92" t="s">
        <v>239</v>
      </c>
      <c r="AN7" s="92" t="s">
        <v>234</v>
      </c>
      <c r="AO7" s="93">
        <v>5961</v>
      </c>
      <c r="AP7" s="86">
        <v>1770.4187704187705</v>
      </c>
      <c r="AQ7" s="83" t="s">
        <v>235</v>
      </c>
      <c r="AR7" s="94" t="s">
        <v>246</v>
      </c>
      <c r="AS7" s="79" t="s">
        <v>155</v>
      </c>
      <c r="AT7" s="79" t="s">
        <v>155</v>
      </c>
      <c r="AU7" s="79" t="s">
        <v>39</v>
      </c>
      <c r="AV7" s="79"/>
      <c r="AW7" s="103"/>
      <c r="AX7" s="79" t="s">
        <v>248</v>
      </c>
      <c r="AY7" s="94" t="s">
        <v>237</v>
      </c>
      <c r="AZ7" s="108">
        <v>43739</v>
      </c>
      <c r="BA7" s="98"/>
    </row>
  </sheetData>
  <autoFilter ref="B3:AZ7" xr:uid="{00000000-0009-0000-0000-000005000000}"/>
  <dataValidations count="1">
    <dataValidation type="list" allowBlank="1" showInputMessage="1" showErrorMessage="1" sqref="AS4" xr:uid="{00000000-0002-0000-0500-000000000000}">
      <formula1>"N/A, Riesgo de Mercado, Riesgo de Crédito"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'\C:\Users\43791391\Desktop\New Folder\2017\BASE DE DATOS\[BASE DE DATOS_CONSOLIDADO-2017.xlsx]TABLAS'!#REF!</xm:f>
          </x14:formula1>
          <xm:sqref>N4:N7 P4:P7 R4:R7 T4:T7 Y4:Y7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25</vt:i4>
      </vt:variant>
    </vt:vector>
  </HeadingPairs>
  <TitlesOfParts>
    <vt:vector size="30" baseType="lpstr">
      <vt:lpstr>Matriz de Riesgos</vt:lpstr>
      <vt:lpstr>Parámetros</vt:lpstr>
      <vt:lpstr>Mapa de calor</vt:lpstr>
      <vt:lpstr>Multas</vt:lpstr>
      <vt:lpstr>Eventos</vt:lpstr>
      <vt:lpstr>Clientes</vt:lpstr>
      <vt:lpstr>Clientes_productos_y_prácticas_empresariales</vt:lpstr>
      <vt:lpstr>Colocaciones</vt:lpstr>
      <vt:lpstr>Control_Interno</vt:lpstr>
      <vt:lpstr>Control_Presupuestal</vt:lpstr>
      <vt:lpstr>Daños_a_activos_materiales</vt:lpstr>
      <vt:lpstr>Ejecución_entrega_y_gestión_de_procesos</vt:lpstr>
      <vt:lpstr>Fondeo</vt:lpstr>
      <vt:lpstr>Fraude_externo</vt:lpstr>
      <vt:lpstr>Fraude_interno</vt:lpstr>
      <vt:lpstr>Gestión_de_Administración</vt:lpstr>
      <vt:lpstr>Gestión_de_Cobranzas_y_Recuperaciones</vt:lpstr>
      <vt:lpstr>Gestión_de_Operaciones</vt:lpstr>
      <vt:lpstr>Gestión_de_Procesos</vt:lpstr>
      <vt:lpstr>Gestión_de_Riesgos</vt:lpstr>
      <vt:lpstr>Gestión_de_RRHH</vt:lpstr>
      <vt:lpstr>Gestión_de_Tecnología_de_Información</vt:lpstr>
      <vt:lpstr>Gestión_Financiera_y_Contable</vt:lpstr>
      <vt:lpstr>Gestión_Legal</vt:lpstr>
      <vt:lpstr>Interrupción_del_negocio_y_fallos_en_los_sistemas</vt:lpstr>
      <vt:lpstr>Inversiones_y_Mesa_de_Dinero</vt:lpstr>
      <vt:lpstr>Planeamiento_y_Desarrollo</vt:lpstr>
      <vt:lpstr>Proceso</vt:lpstr>
      <vt:lpstr>Relaciones_laborales_y_seguridad_en_el_puesto_de_trabajo</vt:lpstr>
      <vt:lpstr>Servicios_Bancarios</vt:lpstr>
    </vt:vector>
  </TitlesOfParts>
  <Company>BANCO GNB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Elkee Altamirano Constantino</dc:creator>
  <cp:lastModifiedBy>carlos herrera palma</cp:lastModifiedBy>
  <dcterms:created xsi:type="dcterms:W3CDTF">2017-05-09T13:33:32Z</dcterms:created>
  <dcterms:modified xsi:type="dcterms:W3CDTF">2026-04-17T15:09:01Z</dcterms:modified>
</cp:coreProperties>
</file>