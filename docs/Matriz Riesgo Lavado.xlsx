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1_D17E92A6570172102998A068950F4CF4AEAB64D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  <sheet name="Producto pasivo" sheetId="2" r:id="rId2"/>
    <sheet name="Servicios" sheetId="3" r:id="rId3"/>
    <sheet name="Z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<sst xmlns="http://schemas.openxmlformats.org/spreadsheetml/2006/main" count="216" uniqueCount="146">
  <si>
    <t>Observaciones</t>
  </si>
  <si>
    <r>
      <t xml:space="preserve">Periodo de análisis: </t>
    </r>
    <r>
      <rPr>
        <sz val="11"/>
        <color theme="1"/>
        <rFont val="Calibri"/>
        <family val="2"/>
        <scheme val="minor"/>
      </rPr>
      <t>De julio del 2014 a junio del 2015</t>
    </r>
  </si>
  <si>
    <t xml:space="preserve">VARIABLE </t>
  </si>
  <si>
    <t xml:space="preserve">INDICADOR </t>
  </si>
  <si>
    <t xml:space="preserve">Registro </t>
  </si>
  <si>
    <t xml:space="preserve">Porcentaje </t>
  </si>
  <si>
    <t>1.1 Edad</t>
  </si>
  <si>
    <r>
      <t xml:space="preserve"> </t>
    </r>
    <r>
      <rPr>
        <sz val="10"/>
        <color theme="1"/>
        <rFont val="Calibri"/>
        <family val="2"/>
      </rPr>
      <t xml:space="preserve">≥ </t>
    </r>
    <r>
      <rPr>
        <sz val="10"/>
        <color theme="1"/>
        <rFont val="Calibri"/>
        <family val="2"/>
        <scheme val="minor"/>
      </rPr>
      <t xml:space="preserve">18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25 años</t>
    </r>
  </si>
  <si>
    <r>
      <t xml:space="preserve"> </t>
    </r>
    <r>
      <rPr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  <scheme val="minor"/>
      </rPr>
      <t xml:space="preserve"> 25 ≤ 40 años</t>
    </r>
  </si>
  <si>
    <r>
      <rPr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  <scheme val="minor"/>
      </rPr>
      <t xml:space="preserve"> 40 ≤ 65 años</t>
    </r>
  </si>
  <si>
    <r>
      <t xml:space="preserve"> </t>
    </r>
    <r>
      <rPr>
        <sz val="10"/>
        <color theme="1"/>
        <rFont val="Calibri"/>
        <family val="2"/>
      </rPr>
      <t xml:space="preserve">&gt; </t>
    </r>
    <r>
      <rPr>
        <sz val="10"/>
        <color theme="1"/>
        <rFont val="Calibri"/>
        <family val="2"/>
        <scheme val="minor"/>
      </rPr>
      <t xml:space="preserve">65 años </t>
    </r>
  </si>
  <si>
    <t xml:space="preserve">1.2 Tipo de D.O.I. </t>
  </si>
  <si>
    <t>DNI</t>
  </si>
  <si>
    <t>Carnet de extranjería</t>
  </si>
  <si>
    <t>Pasaporte</t>
  </si>
  <si>
    <r>
      <t xml:space="preserve"> </t>
    </r>
    <r>
      <rPr>
        <sz val="10"/>
        <color theme="1"/>
        <rFont val="Calibri"/>
        <family val="2"/>
      </rPr>
      <t xml:space="preserve">≤ </t>
    </r>
    <r>
      <rPr>
        <sz val="10"/>
        <color theme="1"/>
        <rFont val="Calibri"/>
        <family val="2"/>
        <scheme val="minor"/>
      </rPr>
      <t xml:space="preserve"> 1 año</t>
    </r>
  </si>
  <si>
    <r>
      <t xml:space="preserve"> </t>
    </r>
    <r>
      <rPr>
        <sz val="10"/>
        <color theme="1"/>
        <rFont val="Calibri"/>
        <family val="2"/>
      </rPr>
      <t xml:space="preserve">&gt; </t>
    </r>
    <r>
      <rPr>
        <sz val="10"/>
        <color theme="1"/>
        <rFont val="Calibri"/>
        <family val="2"/>
        <scheme val="minor"/>
      </rPr>
      <t>1 ≤  5 años</t>
    </r>
  </si>
  <si>
    <r>
      <t xml:space="preserve"> </t>
    </r>
    <r>
      <rPr>
        <sz val="10"/>
        <color theme="1"/>
        <rFont val="Calibri"/>
        <family val="2"/>
      </rPr>
      <t>&gt; 5</t>
    </r>
    <r>
      <rPr>
        <sz val="10"/>
        <color theme="1"/>
        <rFont val="Calibri"/>
        <family val="2"/>
        <scheme val="minor"/>
      </rPr>
      <t xml:space="preserve"> ≤ 10 años</t>
    </r>
  </si>
  <si>
    <t xml:space="preserve">1.4 Actividad </t>
  </si>
  <si>
    <t>Dependiente</t>
  </si>
  <si>
    <t xml:space="preserve">Independiente formal </t>
  </si>
  <si>
    <t xml:space="preserve">Independiente informal </t>
  </si>
  <si>
    <t>Desconocida</t>
  </si>
  <si>
    <t>1.5 Condición SUNAT</t>
  </si>
  <si>
    <t>Activo</t>
  </si>
  <si>
    <t>Suspensión temporal</t>
  </si>
  <si>
    <t>Baja de oficio</t>
  </si>
  <si>
    <t>Desconocido</t>
  </si>
  <si>
    <t>1.6 Cliente Sensible</t>
  </si>
  <si>
    <t xml:space="preserve">Extranjero no residente </t>
  </si>
  <si>
    <t xml:space="preserve">PEP </t>
  </si>
  <si>
    <t xml:space="preserve">Usuario </t>
  </si>
  <si>
    <t xml:space="preserve">1.7 Tipo de cuenta </t>
  </si>
  <si>
    <t>1.8 Moneda del producto</t>
  </si>
  <si>
    <t>Nuevos Soles</t>
  </si>
  <si>
    <t>Euros</t>
  </si>
  <si>
    <t>Dólares</t>
  </si>
  <si>
    <t>1.9 Lugar de vinculación</t>
  </si>
  <si>
    <t xml:space="preserve">Lima </t>
  </si>
  <si>
    <t>1.3 Antigüedad como cliente de la IFI</t>
  </si>
  <si>
    <t>1. Llenar únicamente la columna "C" y consignar la información por número de clientes.</t>
  </si>
  <si>
    <t>2. En la variable "1.9 Lugar de vinculación" consignar la información respecto del lugar donde se abrío la primera cuenta del cliente.</t>
  </si>
  <si>
    <t xml:space="preserve">Observaciones: </t>
  </si>
  <si>
    <t xml:space="preserve">1.1 Ingreso de dinero </t>
  </si>
  <si>
    <t xml:space="preserve">Efectivo </t>
  </si>
  <si>
    <t>Cheque de gerencia</t>
  </si>
  <si>
    <t xml:space="preserve">Cheque del mismo banco </t>
  </si>
  <si>
    <t xml:space="preserve">Cheque de otro banco </t>
  </si>
  <si>
    <t xml:space="preserve">Transferencia entre cuentas propias  </t>
  </si>
  <si>
    <t xml:space="preserve">Transferencia entre cuentas de terceros </t>
  </si>
  <si>
    <t>Transferencia de otros bancos</t>
  </si>
  <si>
    <t>Transferencia del exterior</t>
  </si>
  <si>
    <t xml:space="preserve">1.2 Salida de dinero </t>
  </si>
  <si>
    <t xml:space="preserve">1.3 Número de cuentas por saldo en cuenta </t>
  </si>
  <si>
    <t>&lt; USD 10,000</t>
  </si>
  <si>
    <t>≥ USD 10,000 &lt; USD 50,000</t>
  </si>
  <si>
    <t>≥ USD USD 50,000</t>
  </si>
  <si>
    <t xml:space="preserve">1.4 Número de cuentas por volumen transado del periodo de análisis </t>
  </si>
  <si>
    <t xml:space="preserve"> ≥ USD 10,000 &lt; USD 50,000</t>
  </si>
  <si>
    <t>1.5 Volumen transado en el periodo de análisis</t>
  </si>
  <si>
    <t>≥  USD 50,000</t>
  </si>
  <si>
    <t xml:space="preserve">1.6 Moneda </t>
  </si>
  <si>
    <t xml:space="preserve">Nuevos soles </t>
  </si>
  <si>
    <t xml:space="preserve">Dólares americanos </t>
  </si>
  <si>
    <t xml:space="preserve">Euros </t>
  </si>
  <si>
    <t xml:space="preserve">1.7 Canal presencial </t>
  </si>
  <si>
    <t xml:space="preserve">Ventanilla </t>
  </si>
  <si>
    <t>Agentes</t>
  </si>
  <si>
    <t xml:space="preserve">1.8 Canal no presencial </t>
  </si>
  <si>
    <t xml:space="preserve">Plataforma web </t>
  </si>
  <si>
    <t xml:space="preserve">ATM </t>
  </si>
  <si>
    <t xml:space="preserve">Banca telefónica </t>
  </si>
  <si>
    <t xml:space="preserve">Procesos masivos </t>
  </si>
  <si>
    <t xml:space="preserve">SUB FACTOR </t>
  </si>
  <si>
    <t xml:space="preserve">1. Remesas / Transferencia de fondos </t>
  </si>
  <si>
    <t xml:space="preserve">1.1 Envío de dinero </t>
  </si>
  <si>
    <t xml:space="preserve">1.2 Recepción de dinero </t>
  </si>
  <si>
    <t xml:space="preserve">1.3 Medio </t>
  </si>
  <si>
    <t xml:space="preserve">Con cargo en cuenta </t>
  </si>
  <si>
    <t xml:space="preserve">Sin cargo en cuenta </t>
  </si>
  <si>
    <t xml:space="preserve">1.4 Número de operaciones  </t>
  </si>
  <si>
    <t>&lt; USD 1,000</t>
  </si>
  <si>
    <t>≥ USD 1,000 &lt; USD 2,500</t>
  </si>
  <si>
    <t>≥ USD 2,500</t>
  </si>
  <si>
    <t xml:space="preserve">1.6 Canal presencial </t>
  </si>
  <si>
    <t xml:space="preserve">1.7 Lugar de la operación </t>
  </si>
  <si>
    <t xml:space="preserve">2. Operaciones de cambio </t>
  </si>
  <si>
    <t xml:space="preserve">2.1 Compra (ingreso) </t>
  </si>
  <si>
    <t>Dólares americanos</t>
  </si>
  <si>
    <t xml:space="preserve">Otros </t>
  </si>
  <si>
    <t xml:space="preserve">2.2 Venta (salida) </t>
  </si>
  <si>
    <t xml:space="preserve">2.3 Medio </t>
  </si>
  <si>
    <t xml:space="preserve">2.4 Número de operaciones  </t>
  </si>
  <si>
    <t>&lt; USD 5,000</t>
  </si>
  <si>
    <t>≥ USD 5,000 &lt; USD 10,000</t>
  </si>
  <si>
    <t>≥ USD 10,000</t>
  </si>
  <si>
    <t xml:space="preserve">2.5 Cuantía de la operación </t>
  </si>
  <si>
    <t xml:space="preserve">2.6 Canal presencial </t>
  </si>
  <si>
    <t xml:space="preserve">2.7 Canal no presencial </t>
  </si>
  <si>
    <t xml:space="preserve">2.8 Lugar de la operación </t>
  </si>
  <si>
    <t>1. Llenar únicamente la columna "D" y consignar la información por número de operaciones; excepto en las variables "1.5 Volumen transado en el periodo de análisis" y "2.5 Cuantía de la operación",  donde se colocará el monto total de las operaciones expresado en dólares americanos.</t>
  </si>
  <si>
    <t xml:space="preserve">Zona Geográfica Nacional </t>
  </si>
  <si>
    <t>Amazonas</t>
  </si>
  <si>
    <t xml:space="preserve">Ancash </t>
  </si>
  <si>
    <t>Apurimac</t>
  </si>
  <si>
    <t>Arequipa</t>
  </si>
  <si>
    <t>Ayacucho</t>
  </si>
  <si>
    <t>Cajamarca</t>
  </si>
  <si>
    <t>Cusco</t>
  </si>
  <si>
    <t>Huancavelica</t>
  </si>
  <si>
    <t xml:space="preserve">Huánuco </t>
  </si>
  <si>
    <t>Ica</t>
  </si>
  <si>
    <t xml:space="preserve">Junín </t>
  </si>
  <si>
    <t>La Libertad</t>
  </si>
  <si>
    <t>Lambayeque</t>
  </si>
  <si>
    <t xml:space="preserve">Loreto </t>
  </si>
  <si>
    <t xml:space="preserve">Madre de Dios </t>
  </si>
  <si>
    <t xml:space="preserve">Moquegua </t>
  </si>
  <si>
    <t xml:space="preserve">Pasco </t>
  </si>
  <si>
    <t>Piura</t>
  </si>
  <si>
    <t>Puno</t>
  </si>
  <si>
    <t xml:space="preserve">San Martín </t>
  </si>
  <si>
    <t>Tacna</t>
  </si>
  <si>
    <t>Tumbes</t>
  </si>
  <si>
    <t>Ucayali</t>
  </si>
  <si>
    <t>Callao</t>
  </si>
  <si>
    <t xml:space="preserve">Zona Geográfica Internacional </t>
  </si>
  <si>
    <t>Venezuela</t>
  </si>
  <si>
    <t>Bolivia</t>
  </si>
  <si>
    <t xml:space="preserve">Número de operaciones </t>
  </si>
  <si>
    <t>Monto 
(USD)</t>
  </si>
  <si>
    <t xml:space="preserve">FACTOR DE RIESGO CLIENTE: PERSONA NATURAL </t>
  </si>
  <si>
    <r>
      <t xml:space="preserve">1. Llenar únicamente la columna "C" y consignar la información por </t>
    </r>
    <r>
      <rPr>
        <b/>
        <sz val="10"/>
        <color theme="1"/>
        <rFont val="Calibri"/>
        <family val="2"/>
        <scheme val="minor"/>
      </rPr>
      <t xml:space="preserve">número de operaciones; </t>
    </r>
    <r>
      <rPr>
        <sz val="10"/>
        <color theme="1"/>
        <rFont val="Calibri"/>
        <family val="2"/>
        <scheme val="minor"/>
      </rPr>
      <t xml:space="preserve">excepto en la variable "1.5 Volumen transado en el periodo de análisis", donde se colocará el monto total de las operaciones expresado en </t>
    </r>
    <r>
      <rPr>
        <b/>
        <sz val="10"/>
        <color theme="1"/>
        <rFont val="Calibri"/>
        <family val="2"/>
        <scheme val="minor"/>
      </rPr>
      <t>dólares americanos.</t>
    </r>
  </si>
  <si>
    <t>1.9 Lugar de apertura de la cuenta</t>
  </si>
  <si>
    <t>FACTOR DE RIESGO PRODUCTO: PASIVO AHORROS</t>
  </si>
  <si>
    <t xml:space="preserve">FACTOR DE RIESGO SERVICIOS </t>
  </si>
  <si>
    <t>FACTOR DE RIESGO ZONA GEOGRÁFICA</t>
  </si>
  <si>
    <t>2. Llenar la columna "C" consignando la información por número de operaciones.</t>
  </si>
  <si>
    <t>3. Llenar la columna "E" consignando la información por monto total de las operaciones expresado en dólares americanos.</t>
  </si>
  <si>
    <t xml:space="preserve">1. La información que se consigne debe incluir el total de las operaciones de la IFI respecto de todos sus productos y servicios en función del lugar donde se ejecutan. </t>
  </si>
  <si>
    <t xml:space="preserve">Pasivo </t>
  </si>
  <si>
    <t xml:space="preserve">Colocaciones </t>
  </si>
  <si>
    <t xml:space="preserve">Servicios </t>
  </si>
  <si>
    <t>Trujillo</t>
  </si>
  <si>
    <t>Chiclayo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</si>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</sst>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indexed="64"/>
      <name val="Arial"/>
      <family val="2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0"/>
      </right>
      <top/>
      <bottom/>
      <diagonal/>
    </border>
  </borders>
  <cellStyleXfs count="25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3"/>
    <xf numFmtId="0" fontId="7" fillId="0" borderId="3"/>
    <xf numFmtId="0" fontId="7" fillId="0" borderId="3"/>
    <xf numFmtId="164" fontId="7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9" fontId="4" fillId="0" borderId="2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9" fontId="4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9" fontId="4" fillId="0" borderId="1" xfId="1" applyFont="1" applyFill="1" applyBorder="1" applyAlignment="1">
      <alignment horizontal="center" vertical="center"/>
    </xf>
    <xf numFmtId="9" fontId="4" fillId="0" borderId="2" xfId="1" applyFont="1" applyBorder="1" applyAlignment="1">
      <alignment horizontal="center"/>
    </xf>
    <xf numFmtId="9" fontId="4" fillId="0" borderId="0" xfId="1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horizontal="left" readingOrder="1"/>
    </xf>
    <xf numFmtId="0" fontId="4" fillId="0" borderId="2" xfId="0" applyFont="1" applyBorder="1"/>
    <xf numFmtId="0" fontId="4" fillId="0" borderId="1" xfId="2" applyFont="1" applyFill="1" applyBorder="1" applyAlignment="1" applyProtection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/>
    <xf numFmtId="0" fontId="5" fillId="0" borderId="2" xfId="0" applyFont="1" applyBorder="1"/>
    <xf numFmtId="0" fontId="5" fillId="0" borderId="0" xfId="0" applyFont="1"/>
    <xf numFmtId="0" fontId="3" fillId="0" borderId="1" xfId="0" applyFont="1" applyBorder="1"/>
    <xf numFmtId="9" fontId="4" fillId="0" borderId="0" xfId="1" applyFont="1" applyFill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0" fillId="2" borderId="2" xfId="0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9" fillId="0" borderId="2" xfId="0" applyFont="1" applyBorder="1" applyAlignment="1">
      <alignment horizontal="left" vertical="center"/>
    </xf>
    <xf numFmtId="0" fontId="2" fillId="3" borderId="0" xfId="0" applyFont="1" applyFill="1"/>
    <xf numFmtId="0" fontId="4" fillId="3" borderId="0" xfId="0" applyFont="1" applyFill="1"/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5">
    <cellStyle name="Diseño" xfId="3" xr:uid="{00000000-0005-0000-0000-000000000000}"/>
    <cellStyle name="Diseño 2" xfId="4" xr:uid="{00000000-0005-0000-0000-000001000000}"/>
    <cellStyle name="Diseño_Status de evaluacion de línea nueva" xfId="5" xr:uid="{00000000-0005-0000-0000-000002000000}"/>
    <cellStyle name="Hipervínculo" xfId="2" builtinId="8"/>
    <cellStyle name="Millares 2" xfId="6" xr:uid="{00000000-0005-0000-0000-000004000000}"/>
    <cellStyle name="Normal" xfId="0" builtinId="0"/>
    <cellStyle name="Normal 2" xfId="7" xr:uid="{00000000-0005-0000-0000-000006000000}"/>
    <cellStyle name="Normal 2 2" xfId="8" xr:uid="{00000000-0005-0000-0000-000007000000}"/>
    <cellStyle name="Normal 2 2 2" xfId="9" xr:uid="{00000000-0005-0000-0000-000008000000}"/>
    <cellStyle name="Normal 2 3" xfId="10" xr:uid="{00000000-0005-0000-0000-000009000000}"/>
    <cellStyle name="Normal 2 4" xfId="11" xr:uid="{00000000-0005-0000-0000-00000A000000}"/>
    <cellStyle name="Normal 2 4 2" xfId="12" xr:uid="{00000000-0005-0000-0000-00000B000000}"/>
    <cellStyle name="Normal 3" xfId="13" xr:uid="{00000000-0005-0000-0000-00000C000000}"/>
    <cellStyle name="Normal 3 2" xfId="14" xr:uid="{00000000-0005-0000-0000-00000D000000}"/>
    <cellStyle name="Normal 3 3" xfId="15" xr:uid="{00000000-0005-0000-0000-00000E000000}"/>
    <cellStyle name="Normal 4" xfId="16" xr:uid="{00000000-0005-0000-0000-00000F000000}"/>
    <cellStyle name="Normal 5" xfId="17" xr:uid="{00000000-0005-0000-0000-000010000000}"/>
    <cellStyle name="Normal 6" xfId="18" xr:uid="{00000000-0005-0000-0000-000011000000}"/>
    <cellStyle name="Normal 7" xfId="19" xr:uid="{00000000-0005-0000-0000-000012000000}"/>
    <cellStyle name="Porcentaje" xfId="1" builtinId="5"/>
    <cellStyle name="Porcentaje 2" xfId="20" xr:uid="{00000000-0005-0000-0000-000014000000}"/>
    <cellStyle name="Porcentual 2" xfId="21" xr:uid="{00000000-0005-0000-0000-000015000000}"/>
    <cellStyle name="Porcentual 3" xfId="22" xr:uid="{00000000-0005-0000-0000-000016000000}"/>
    <cellStyle name="Porcentual 4" xfId="23" xr:uid="{00000000-0005-0000-0000-000017000000}"/>
    <cellStyle name="Porcentual 5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F44"/>
  <sheetViews>
    <sheetView tabSelected="1" topLeftCell="A25" zoomScale="120" zoomScaleNormal="120" workbookViewId="0">
      <selection activeCell="B16" sqref="B16"/>
    </sheetView>
  </sheetViews>
  <sheetFormatPr baseColWidth="10" defaultColWidth="11.44140625" defaultRowHeight="13.8" x14ac:dyDescent="0.3"/>
  <cols>
    <col min="1" max="1" width="30.88671875" style="2" customWidth="1"/>
    <col min="2" max="2" width="19.6640625" style="2" customWidth="1"/>
    <col min="3" max="3" width="10.88671875" style="2" customWidth="1"/>
    <col min="4" max="4" width="10" style="2" customWidth="1"/>
    <col min="5" max="5" width="14.6640625" style="2" bestFit="1" customWidth="1"/>
    <col min="6" max="6" width="10.6640625" style="2" bestFit="1" customWidth="1"/>
    <col min="7" max="7" width="15" style="2" customWidth="1"/>
    <col min="8" max="16384" width="11.44140625" style="2"/>
  </cols>
  <sheetData>
    <row r="1" spans="1:6" ht="15.6" x14ac:dyDescent="0.3">
      <c r="A1" s="50" t="s">
        <v>131</v>
      </c>
    </row>
    <row r="2" spans="1:6" x14ac:dyDescent="0.3">
      <c r="A2" s="1"/>
    </row>
    <row r="3" spans="1:6" ht="14.4" x14ac:dyDescent="0.3">
      <c r="A3" s="48" t="s">
        <v>1</v>
      </c>
      <c r="B3" s="49"/>
      <c r="C3" s="49"/>
      <c r="D3" s="49"/>
    </row>
    <row r="4" spans="1:6" ht="14.4" x14ac:dyDescent="0.3">
      <c r="A4" s="3"/>
    </row>
    <row r="5" spans="1:6" x14ac:dyDescent="0.3">
      <c r="A5" s="1" t="s">
        <v>0</v>
      </c>
    </row>
    <row r="6" spans="1:6" ht="15" customHeight="1" x14ac:dyDescent="0.3">
      <c r="A6" s="2" t="s">
        <v>40</v>
      </c>
    </row>
    <row r="7" spans="1:6" ht="30" customHeight="1" x14ac:dyDescent="0.3">
      <c r="A7" s="56" t="s">
        <v>41</v>
      </c>
      <c r="B7" s="56"/>
      <c r="C7" s="56"/>
      <c r="D7" s="56"/>
    </row>
    <row r="8" spans="1:6" ht="15" customHeight="1" x14ac:dyDescent="0.3"/>
    <row r="9" spans="1:6" ht="15" customHeight="1" x14ac:dyDescent="0.3"/>
    <row r="10" spans="1:6" s="5" customFormat="1" ht="10.5" customHeight="1" x14ac:dyDescent="0.3">
      <c r="A10" s="2"/>
      <c r="B10" s="2"/>
      <c r="C10" s="2"/>
      <c r="D10" s="2"/>
      <c r="E10" s="4"/>
      <c r="F10" s="4"/>
    </row>
    <row r="11" spans="1:6" ht="15" customHeight="1" x14ac:dyDescent="0.3">
      <c r="A11" s="6" t="s">
        <v>2</v>
      </c>
      <c r="B11" s="6" t="s">
        <v>3</v>
      </c>
      <c r="C11" s="7" t="s">
        <v>4</v>
      </c>
      <c r="D11" s="7" t="s">
        <v>5</v>
      </c>
      <c r="E11" s="8"/>
      <c r="F11" s="8"/>
    </row>
    <row r="12" spans="1:6" ht="15" customHeight="1" x14ac:dyDescent="0.3">
      <c r="A12" s="57" t="s">
        <v>6</v>
      </c>
      <c r="B12" s="9" t="s">
        <v>7</v>
      </c>
      <c r="C12" s="10">
        <v>80</v>
      </c>
      <c r="D12" s="11">
        <f>C12/SUM($C$12:$C$15)</f>
        <v>0.08</v>
      </c>
      <c r="E12" s="8"/>
    </row>
    <row r="13" spans="1:6" ht="15" customHeight="1" x14ac:dyDescent="0.3">
      <c r="A13" s="58"/>
      <c r="B13" s="8" t="s">
        <v>8</v>
      </c>
      <c r="C13" s="12">
        <v>270</v>
      </c>
      <c r="D13" s="13">
        <f t="shared" ref="D13:D15" si="0">C13/SUM($C$12:$C$15)</f>
        <v>0.27</v>
      </c>
      <c r="E13" s="8"/>
    </row>
    <row r="14" spans="1:6" ht="15" customHeight="1" x14ac:dyDescent="0.3">
      <c r="A14" s="58"/>
      <c r="B14" s="8" t="s">
        <v>9</v>
      </c>
      <c r="C14" s="12">
        <v>400</v>
      </c>
      <c r="D14" s="13">
        <f t="shared" si="0"/>
        <v>0.4</v>
      </c>
      <c r="E14" s="8"/>
    </row>
    <row r="15" spans="1:6" ht="15" customHeight="1" x14ac:dyDescent="0.3">
      <c r="A15" s="59"/>
      <c r="B15" s="14" t="s">
        <v>10</v>
      </c>
      <c r="C15" s="15">
        <v>250</v>
      </c>
      <c r="D15" s="16">
        <f t="shared" si="0"/>
        <v>0.25</v>
      </c>
      <c r="E15" s="8"/>
    </row>
    <row r="16" spans="1:6" ht="15" customHeight="1" x14ac:dyDescent="0.3">
      <c r="A16" s="58" t="s">
        <v>11</v>
      </c>
      <c r="B16" s="9" t="s">
        <v>12</v>
      </c>
      <c r="C16" s="10">
        <v>650</v>
      </c>
      <c r="D16" s="11">
        <f>C16/SUM($C$16:$C$18)</f>
        <v>0.65</v>
      </c>
    </row>
    <row r="17" spans="1:4" ht="15" customHeight="1" x14ac:dyDescent="0.3">
      <c r="A17" s="58"/>
      <c r="B17" s="8" t="s">
        <v>13</v>
      </c>
      <c r="C17" s="12">
        <v>150</v>
      </c>
      <c r="D17" s="13">
        <f t="shared" ref="D17:D18" si="1">C17/SUM($C$16:$C$18)</f>
        <v>0.15</v>
      </c>
    </row>
    <row r="18" spans="1:4" ht="15" customHeight="1" x14ac:dyDescent="0.3">
      <c r="A18" s="58"/>
      <c r="B18" s="14" t="s">
        <v>14</v>
      </c>
      <c r="C18" s="15">
        <v>200</v>
      </c>
      <c r="D18" s="16">
        <f t="shared" si="1"/>
        <v>0.2</v>
      </c>
    </row>
    <row r="19" spans="1:4" ht="15" customHeight="1" x14ac:dyDescent="0.3">
      <c r="A19" s="57" t="s">
        <v>39</v>
      </c>
      <c r="B19" s="9" t="s">
        <v>15</v>
      </c>
      <c r="C19" s="10">
        <v>150</v>
      </c>
      <c r="D19" s="17">
        <f>C19/SUM($C$19:$C$22)</f>
        <v>0.15</v>
      </c>
    </row>
    <row r="20" spans="1:4" ht="15" customHeight="1" x14ac:dyDescent="0.3">
      <c r="A20" s="58"/>
      <c r="B20" s="8" t="s">
        <v>16</v>
      </c>
      <c r="C20" s="12">
        <v>200</v>
      </c>
      <c r="D20" s="18">
        <f t="shared" ref="D20:D22" si="2">C20/SUM($C$19:$C$22)</f>
        <v>0.2</v>
      </c>
    </row>
    <row r="21" spans="1:4" ht="15" customHeight="1" x14ac:dyDescent="0.3">
      <c r="A21" s="58"/>
      <c r="B21" s="8" t="s">
        <v>17</v>
      </c>
      <c r="C21" s="12">
        <v>400</v>
      </c>
      <c r="D21" s="18">
        <f t="shared" si="2"/>
        <v>0.4</v>
      </c>
    </row>
    <row r="22" spans="1:4" ht="15" customHeight="1" x14ac:dyDescent="0.3">
      <c r="A22" s="59"/>
      <c r="B22" s="14" t="s">
        <v>17</v>
      </c>
      <c r="C22" s="15">
        <v>250</v>
      </c>
      <c r="D22" s="19">
        <f t="shared" si="2"/>
        <v>0.25</v>
      </c>
    </row>
    <row r="23" spans="1:4" ht="15" customHeight="1" x14ac:dyDescent="0.3">
      <c r="A23" s="58" t="s">
        <v>18</v>
      </c>
      <c r="B23" s="9" t="s">
        <v>19</v>
      </c>
      <c r="C23" s="10">
        <v>250</v>
      </c>
      <c r="D23" s="17">
        <f>C23/SUM($C$23:$C$26)</f>
        <v>0.20833333333333334</v>
      </c>
    </row>
    <row r="24" spans="1:4" ht="15" customHeight="1" x14ac:dyDescent="0.3">
      <c r="A24" s="58"/>
      <c r="B24" s="8" t="s">
        <v>20</v>
      </c>
      <c r="C24" s="12">
        <v>350</v>
      </c>
      <c r="D24" s="18">
        <f t="shared" ref="D24:D26" si="3">C24/SUM($C$23:$C$26)</f>
        <v>0.29166666666666669</v>
      </c>
    </row>
    <row r="25" spans="1:4" ht="15" customHeight="1" x14ac:dyDescent="0.3">
      <c r="A25" s="58"/>
      <c r="B25" s="8" t="s">
        <v>21</v>
      </c>
      <c r="C25" s="12">
        <v>300</v>
      </c>
      <c r="D25" s="18">
        <f t="shared" si="3"/>
        <v>0.25</v>
      </c>
    </row>
    <row r="26" spans="1:4" ht="12.75" customHeight="1" x14ac:dyDescent="0.3">
      <c r="A26" s="59"/>
      <c r="B26" s="14" t="s">
        <v>22</v>
      </c>
      <c r="C26" s="15">
        <v>300</v>
      </c>
      <c r="D26" s="19">
        <f t="shared" si="3"/>
        <v>0.25</v>
      </c>
    </row>
    <row r="27" spans="1:4" x14ac:dyDescent="0.3">
      <c r="A27" s="58" t="s">
        <v>23</v>
      </c>
      <c r="B27" s="20" t="s">
        <v>24</v>
      </c>
      <c r="C27" s="10">
        <v>600</v>
      </c>
      <c r="D27" s="17">
        <f>C27/SUM($C$27:$C$30)</f>
        <v>0.6</v>
      </c>
    </row>
    <row r="28" spans="1:4" x14ac:dyDescent="0.3">
      <c r="A28" s="58"/>
      <c r="B28" s="21" t="s">
        <v>25</v>
      </c>
      <c r="C28" s="12">
        <v>100</v>
      </c>
      <c r="D28" s="18">
        <f t="shared" ref="D28:D30" si="4">C28/SUM($C$27:$C$30)</f>
        <v>0.1</v>
      </c>
    </row>
    <row r="29" spans="1:4" x14ac:dyDescent="0.3">
      <c r="A29" s="58"/>
      <c r="B29" s="21" t="s">
        <v>26</v>
      </c>
      <c r="C29" s="12">
        <v>100</v>
      </c>
      <c r="D29" s="18">
        <f t="shared" si="4"/>
        <v>0.1</v>
      </c>
    </row>
    <row r="30" spans="1:4" ht="12.75" customHeight="1" x14ac:dyDescent="0.3">
      <c r="A30" s="59"/>
      <c r="B30" s="22" t="s">
        <v>27</v>
      </c>
      <c r="C30" s="15">
        <v>200</v>
      </c>
      <c r="D30" s="19">
        <f t="shared" si="4"/>
        <v>0.2</v>
      </c>
    </row>
    <row r="31" spans="1:4" ht="12.75" customHeight="1" x14ac:dyDescent="0.3">
      <c r="A31" s="57" t="s">
        <v>28</v>
      </c>
      <c r="B31" s="8" t="s">
        <v>29</v>
      </c>
      <c r="C31" s="12">
        <v>100</v>
      </c>
      <c r="D31" s="18">
        <f>C31/SUM($C$31:$C$33)</f>
        <v>0.1</v>
      </c>
    </row>
    <row r="32" spans="1:4" ht="12.75" customHeight="1" x14ac:dyDescent="0.3">
      <c r="A32" s="58"/>
      <c r="B32" s="8" t="s">
        <v>30</v>
      </c>
      <c r="C32" s="12">
        <v>300</v>
      </c>
      <c r="D32" s="18">
        <f t="shared" ref="D32:D33" si="5">C32/SUM($C$31:$C$33)</f>
        <v>0.3</v>
      </c>
    </row>
    <row r="33" spans="1:4" ht="12.75" customHeight="1" x14ac:dyDescent="0.3">
      <c r="A33" s="59"/>
      <c r="B33" s="8" t="s">
        <v>31</v>
      </c>
      <c r="C33" s="12">
        <v>600</v>
      </c>
      <c r="D33" s="18">
        <f t="shared" si="5"/>
        <v>0.6</v>
      </c>
    </row>
    <row r="34" spans="1:4" ht="12.75" customHeight="1" x14ac:dyDescent="0.3">
      <c r="A34" s="60" t="s">
        <v>32</v>
      </c>
      <c r="B34" s="23" t="s">
        <v>140</v>
      </c>
      <c r="C34" s="10">
        <v>550</v>
      </c>
      <c r="D34" s="17">
        <f>C34/SUM($C$34:$C$36)</f>
        <v>0.55000000000000004</v>
      </c>
    </row>
    <row r="35" spans="1:4" ht="12.75" customHeight="1" x14ac:dyDescent="0.3">
      <c r="A35" s="61"/>
      <c r="B35" s="24" t="s">
        <v>141</v>
      </c>
      <c r="C35" s="12">
        <v>400</v>
      </c>
      <c r="D35" s="18">
        <f>C35/SUM($C$34:$C$36)</f>
        <v>0.4</v>
      </c>
    </row>
    <row r="36" spans="1:4" x14ac:dyDescent="0.3">
      <c r="A36" s="62"/>
      <c r="B36" s="25" t="s">
        <v>142</v>
      </c>
      <c r="C36" s="15">
        <v>50</v>
      </c>
      <c r="D36" s="19">
        <f>C36/SUM($C$34:$C$36)</f>
        <v>0.05</v>
      </c>
    </row>
    <row r="37" spans="1:4" ht="12.75" customHeight="1" x14ac:dyDescent="0.3">
      <c r="A37" s="57" t="s">
        <v>33</v>
      </c>
      <c r="B37" s="21" t="s">
        <v>34</v>
      </c>
      <c r="C37" s="12">
        <v>700</v>
      </c>
      <c r="D37" s="18">
        <f>C37/SUM($C$37:$C$39)</f>
        <v>0.7</v>
      </c>
    </row>
    <row r="38" spans="1:4" ht="12.75" customHeight="1" x14ac:dyDescent="0.3">
      <c r="A38" s="58"/>
      <c r="B38" s="21" t="s">
        <v>35</v>
      </c>
      <c r="C38" s="12">
        <v>5</v>
      </c>
      <c r="D38" s="18">
        <f t="shared" ref="D38:D39" si="6">C38/SUM($C$37:$C$39)</f>
        <v>5.0000000000000001E-3</v>
      </c>
    </row>
    <row r="39" spans="1:4" x14ac:dyDescent="0.3">
      <c r="A39" s="59"/>
      <c r="B39" s="21" t="s">
        <v>36</v>
      </c>
      <c r="C39" s="12">
        <v>295</v>
      </c>
      <c r="D39" s="18">
        <f t="shared" si="6"/>
        <v>0.29499999999999998</v>
      </c>
    </row>
    <row r="40" spans="1:4" x14ac:dyDescent="0.3">
      <c r="A40" s="60" t="s">
        <v>37</v>
      </c>
      <c r="B40" s="26" t="s">
        <v>38</v>
      </c>
      <c r="C40" s="10">
        <v>450</v>
      </c>
      <c r="D40" s="17">
        <f>C40/SUM($C$40:$C$44)</f>
        <v>0.45</v>
      </c>
    </row>
    <row r="41" spans="1:4" x14ac:dyDescent="0.3">
      <c r="A41" s="61"/>
      <c r="B41" s="2" t="s">
        <v>119</v>
      </c>
      <c r="C41" s="12">
        <v>160</v>
      </c>
      <c r="D41" s="18">
        <f>C41/SUM($C$40:$C$44)</f>
        <v>0.16</v>
      </c>
    </row>
    <row r="42" spans="1:4" x14ac:dyDescent="0.3">
      <c r="A42" s="61"/>
      <c r="B42" s="2" t="s">
        <v>143</v>
      </c>
      <c r="C42" s="12">
        <v>90</v>
      </c>
      <c r="D42" s="18">
        <f>C42/SUM($C$40:$C$44)</f>
        <v>0.09</v>
      </c>
    </row>
    <row r="43" spans="1:4" x14ac:dyDescent="0.3">
      <c r="A43" s="61"/>
      <c r="B43" s="2" t="s">
        <v>105</v>
      </c>
      <c r="C43" s="12">
        <v>105</v>
      </c>
      <c r="D43" s="18">
        <f>C43/SUM($C$40:$C$44)</f>
        <v>0.105</v>
      </c>
    </row>
    <row r="44" spans="1:4" x14ac:dyDescent="0.3">
      <c r="A44" s="62"/>
      <c r="B44" s="27" t="s">
        <v>144</v>
      </c>
      <c r="C44" s="15">
        <v>195</v>
      </c>
      <c r="D44" s="19">
        <f>C44/SUM($C$40:$C$44)</f>
        <v>0.19500000000000001</v>
      </c>
    </row>
  </sheetData>
  <mergeCells count="10">
    <mergeCell ref="A31:A33"/>
    <mergeCell ref="A34:A36"/>
    <mergeCell ref="A37:A39"/>
    <mergeCell ref="A40:A44"/>
    <mergeCell ref="A7:D7"/>
    <mergeCell ref="A12:A15"/>
    <mergeCell ref="A16:A18"/>
    <mergeCell ref="A19:A22"/>
    <mergeCell ref="A23:A26"/>
    <mergeCell ref="A27:A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45"/>
  <sheetViews>
    <sheetView zoomScale="110" zoomScaleNormal="110" workbookViewId="0">
      <selection activeCell="A43" sqref="A43:A45"/>
    </sheetView>
  </sheetViews>
  <sheetFormatPr baseColWidth="10" defaultRowHeight="14.4" x14ac:dyDescent="0.3"/>
  <cols>
    <col min="1" max="1" width="26.109375" customWidth="1"/>
    <col min="2" max="2" width="39" customWidth="1"/>
    <col min="3" max="3" width="10.5546875" style="29" customWidth="1"/>
    <col min="4" max="4" width="11.44140625" style="29"/>
  </cols>
  <sheetData>
    <row r="1" spans="1:4" ht="15.6" x14ac:dyDescent="0.3">
      <c r="A1" s="50" t="s">
        <v>134</v>
      </c>
    </row>
    <row r="2" spans="1:4" x14ac:dyDescent="0.3">
      <c r="A2" s="3"/>
    </row>
    <row r="3" spans="1:4" x14ac:dyDescent="0.3">
      <c r="A3" s="48" t="s">
        <v>1</v>
      </c>
      <c r="B3" s="51"/>
      <c r="C3" s="52"/>
      <c r="D3" s="52"/>
    </row>
    <row r="5" spans="1:4" x14ac:dyDescent="0.3">
      <c r="A5" s="3" t="s">
        <v>42</v>
      </c>
    </row>
    <row r="6" spans="1:4" ht="43.5" customHeight="1" x14ac:dyDescent="0.3">
      <c r="A6" s="56" t="s">
        <v>132</v>
      </c>
      <c r="B6" s="56"/>
      <c r="C6" s="56"/>
      <c r="D6" s="56"/>
    </row>
    <row r="7" spans="1:4" x14ac:dyDescent="0.3">
      <c r="A7" s="3"/>
    </row>
    <row r="8" spans="1:4" x14ac:dyDescent="0.3">
      <c r="A8" s="7" t="s">
        <v>2</v>
      </c>
      <c r="B8" s="7" t="s">
        <v>3</v>
      </c>
      <c r="C8" s="7" t="s">
        <v>4</v>
      </c>
      <c r="D8" s="7" t="s">
        <v>5</v>
      </c>
    </row>
    <row r="9" spans="1:4" x14ac:dyDescent="0.3">
      <c r="A9" s="57" t="s">
        <v>43</v>
      </c>
      <c r="B9" s="26" t="s">
        <v>44</v>
      </c>
      <c r="C9" s="10">
        <v>655</v>
      </c>
      <c r="D9" s="17">
        <f t="shared" ref="D9:D16" si="0">C9/SUM($C$9:$C$16)</f>
        <v>0.27291666666666664</v>
      </c>
    </row>
    <row r="10" spans="1:4" x14ac:dyDescent="0.3">
      <c r="A10" s="58"/>
      <c r="B10" s="2" t="s">
        <v>45</v>
      </c>
      <c r="C10" s="12">
        <v>540</v>
      </c>
      <c r="D10" s="18">
        <f t="shared" si="0"/>
        <v>0.22500000000000001</v>
      </c>
    </row>
    <row r="11" spans="1:4" x14ac:dyDescent="0.3">
      <c r="A11" s="58"/>
      <c r="B11" s="2" t="s">
        <v>46</v>
      </c>
      <c r="C11" s="12">
        <v>230</v>
      </c>
      <c r="D11" s="18">
        <f t="shared" si="0"/>
        <v>9.583333333333334E-2</v>
      </c>
    </row>
    <row r="12" spans="1:4" x14ac:dyDescent="0.3">
      <c r="A12" s="58"/>
      <c r="B12" s="2" t="s">
        <v>47</v>
      </c>
      <c r="C12" s="12">
        <v>345</v>
      </c>
      <c r="D12" s="18">
        <f t="shared" si="0"/>
        <v>0.14374999999999999</v>
      </c>
    </row>
    <row r="13" spans="1:4" x14ac:dyDescent="0.3">
      <c r="A13" s="58"/>
      <c r="B13" s="2" t="s">
        <v>48</v>
      </c>
      <c r="C13" s="12">
        <v>230</v>
      </c>
      <c r="D13" s="18">
        <f t="shared" si="0"/>
        <v>9.583333333333334E-2</v>
      </c>
    </row>
    <row r="14" spans="1:4" x14ac:dyDescent="0.3">
      <c r="A14" s="58"/>
      <c r="B14" s="2" t="s">
        <v>49</v>
      </c>
      <c r="C14" s="12">
        <v>120</v>
      </c>
      <c r="D14" s="18">
        <f t="shared" si="0"/>
        <v>0.05</v>
      </c>
    </row>
    <row r="15" spans="1:4" x14ac:dyDescent="0.3">
      <c r="A15" s="58"/>
      <c r="B15" s="2" t="s">
        <v>50</v>
      </c>
      <c r="C15" s="12">
        <v>95</v>
      </c>
      <c r="D15" s="18">
        <f t="shared" si="0"/>
        <v>3.9583333333333331E-2</v>
      </c>
    </row>
    <row r="16" spans="1:4" x14ac:dyDescent="0.3">
      <c r="A16" s="59"/>
      <c r="B16" s="30" t="s">
        <v>51</v>
      </c>
      <c r="C16" s="15">
        <v>185</v>
      </c>
      <c r="D16" s="19">
        <f t="shared" si="0"/>
        <v>7.7083333333333337E-2</v>
      </c>
    </row>
    <row r="17" spans="1:4" x14ac:dyDescent="0.3">
      <c r="A17" s="57" t="s">
        <v>52</v>
      </c>
      <c r="B17" s="26" t="s">
        <v>44</v>
      </c>
      <c r="C17" s="10">
        <v>950</v>
      </c>
      <c r="D17" s="17">
        <f t="shared" ref="D17:D24" si="1">C17/SUM($C$17:$C$24)</f>
        <v>0.34773060029282576</v>
      </c>
    </row>
    <row r="18" spans="1:4" x14ac:dyDescent="0.3">
      <c r="A18" s="58"/>
      <c r="B18" s="2" t="s">
        <v>45</v>
      </c>
      <c r="C18" s="12">
        <v>640</v>
      </c>
      <c r="D18" s="18">
        <f t="shared" si="1"/>
        <v>0.23426061493411421</v>
      </c>
    </row>
    <row r="19" spans="1:4" x14ac:dyDescent="0.3">
      <c r="A19" s="58"/>
      <c r="B19" s="2" t="s">
        <v>46</v>
      </c>
      <c r="C19" s="12">
        <v>455</v>
      </c>
      <c r="D19" s="18">
        <f t="shared" si="1"/>
        <v>0.16654465592972181</v>
      </c>
    </row>
    <row r="20" spans="1:4" x14ac:dyDescent="0.3">
      <c r="A20" s="58"/>
      <c r="B20" s="2" t="s">
        <v>47</v>
      </c>
      <c r="C20" s="12">
        <v>240</v>
      </c>
      <c r="D20" s="18">
        <f t="shared" si="1"/>
        <v>8.7847730600292828E-2</v>
      </c>
    </row>
    <row r="21" spans="1:4" x14ac:dyDescent="0.3">
      <c r="A21" s="58"/>
      <c r="B21" s="2" t="s">
        <v>48</v>
      </c>
      <c r="C21" s="12">
        <v>187</v>
      </c>
      <c r="D21" s="18">
        <f t="shared" si="1"/>
        <v>6.8448023426061488E-2</v>
      </c>
    </row>
    <row r="22" spans="1:4" x14ac:dyDescent="0.3">
      <c r="A22" s="58"/>
      <c r="B22" s="2" t="s">
        <v>49</v>
      </c>
      <c r="C22" s="12">
        <v>46</v>
      </c>
      <c r="D22" s="18">
        <f t="shared" si="1"/>
        <v>1.6837481698389459E-2</v>
      </c>
    </row>
    <row r="23" spans="1:4" x14ac:dyDescent="0.3">
      <c r="A23" s="58"/>
      <c r="B23" s="2" t="s">
        <v>50</v>
      </c>
      <c r="C23" s="12">
        <v>91</v>
      </c>
      <c r="D23" s="18">
        <f t="shared" si="1"/>
        <v>3.3308931185944364E-2</v>
      </c>
    </row>
    <row r="24" spans="1:4" x14ac:dyDescent="0.3">
      <c r="A24" s="59"/>
      <c r="B24" s="30" t="s">
        <v>51</v>
      </c>
      <c r="C24" s="15">
        <v>123</v>
      </c>
      <c r="D24" s="19">
        <f t="shared" si="1"/>
        <v>4.5021961932650074E-2</v>
      </c>
    </row>
    <row r="25" spans="1:4" x14ac:dyDescent="0.3">
      <c r="A25" s="60" t="s">
        <v>53</v>
      </c>
      <c r="B25" s="31" t="s">
        <v>54</v>
      </c>
      <c r="C25" s="10">
        <v>1045</v>
      </c>
      <c r="D25" s="17">
        <f>C25/SUM($C$25:$C$27)</f>
        <v>0.11468393327480246</v>
      </c>
    </row>
    <row r="26" spans="1:4" x14ac:dyDescent="0.3">
      <c r="A26" s="61"/>
      <c r="B26" s="32" t="s">
        <v>55</v>
      </c>
      <c r="C26" s="12">
        <v>3000</v>
      </c>
      <c r="D26" s="18">
        <f>C26/SUM($C$25:$C$27)</f>
        <v>0.3292361720807726</v>
      </c>
    </row>
    <row r="27" spans="1:4" x14ac:dyDescent="0.3">
      <c r="A27" s="62"/>
      <c r="B27" s="30" t="s">
        <v>56</v>
      </c>
      <c r="C27" s="15">
        <v>5067</v>
      </c>
      <c r="D27" s="19">
        <f>C27/SUM($C$25:$C$27)</f>
        <v>0.55607989464442498</v>
      </c>
    </row>
    <row r="28" spans="1:4" x14ac:dyDescent="0.3">
      <c r="A28" s="60" t="s">
        <v>57</v>
      </c>
      <c r="B28" s="31" t="s">
        <v>54</v>
      </c>
      <c r="C28" s="10">
        <v>9034</v>
      </c>
      <c r="D28" s="17">
        <f>C28/SUM($C$28:$C$30)</f>
        <v>0.12817820658342793</v>
      </c>
    </row>
    <row r="29" spans="1:4" x14ac:dyDescent="0.3">
      <c r="A29" s="61"/>
      <c r="B29" s="32" t="s">
        <v>58</v>
      </c>
      <c r="C29" s="12">
        <v>10657</v>
      </c>
      <c r="D29" s="18">
        <f>C29/SUM($C$28:$C$30)</f>
        <v>0.15120601589103291</v>
      </c>
    </row>
    <row r="30" spans="1:4" x14ac:dyDescent="0.3">
      <c r="A30" s="62"/>
      <c r="B30" s="30" t="s">
        <v>56</v>
      </c>
      <c r="C30" s="15">
        <v>50789</v>
      </c>
      <c r="D30" s="19">
        <f>C30/SUM($C$28:$C$30)</f>
        <v>0.72061577752553918</v>
      </c>
    </row>
    <row r="31" spans="1:4" x14ac:dyDescent="0.3">
      <c r="A31" s="60" t="s">
        <v>59</v>
      </c>
      <c r="B31" s="31" t="s">
        <v>54</v>
      </c>
      <c r="C31" s="10">
        <v>90243</v>
      </c>
      <c r="D31" s="17">
        <f>C31/SUM($C$31:$C$33)</f>
        <v>0.59581674490462888</v>
      </c>
    </row>
    <row r="32" spans="1:4" x14ac:dyDescent="0.3">
      <c r="A32" s="61"/>
      <c r="B32" s="32" t="s">
        <v>58</v>
      </c>
      <c r="C32" s="12">
        <v>50874</v>
      </c>
      <c r="D32" s="18">
        <f>C32/SUM($C$31:$C$33)</f>
        <v>0.33588844653079009</v>
      </c>
    </row>
    <row r="33" spans="1:4" x14ac:dyDescent="0.3">
      <c r="A33" s="62"/>
      <c r="B33" s="30" t="s">
        <v>60</v>
      </c>
      <c r="C33" s="15">
        <v>10344</v>
      </c>
      <c r="D33" s="19">
        <f>C33/SUM($C$31:$C$33)</f>
        <v>6.8294808564580978E-2</v>
      </c>
    </row>
    <row r="34" spans="1:4" x14ac:dyDescent="0.3">
      <c r="A34" s="57" t="s">
        <v>61</v>
      </c>
      <c r="B34" s="26" t="s">
        <v>62</v>
      </c>
      <c r="C34" s="10">
        <v>1987567</v>
      </c>
      <c r="D34" s="17">
        <f>C34/SUM($C$34:$C$36)</f>
        <v>0.59434626058909912</v>
      </c>
    </row>
    <row r="35" spans="1:4" x14ac:dyDescent="0.3">
      <c r="A35" s="58"/>
      <c r="B35" s="2" t="s">
        <v>63</v>
      </c>
      <c r="C35" s="12">
        <v>800567</v>
      </c>
      <c r="D35" s="18">
        <f>C35/SUM($C$34:$C$36)</f>
        <v>0.23939520167170886</v>
      </c>
    </row>
    <row r="36" spans="1:4" x14ac:dyDescent="0.3">
      <c r="A36" s="59"/>
      <c r="B36" s="30" t="s">
        <v>64</v>
      </c>
      <c r="C36" s="15">
        <v>555989</v>
      </c>
      <c r="D36" s="19">
        <f>C36/SUM($C$34:$C$36)</f>
        <v>0.166258537739192</v>
      </c>
    </row>
    <row r="37" spans="1:4" x14ac:dyDescent="0.3">
      <c r="A37" s="57" t="s">
        <v>65</v>
      </c>
      <c r="B37" s="26" t="s">
        <v>66</v>
      </c>
      <c r="C37" s="10">
        <v>20897</v>
      </c>
      <c r="D37" s="17">
        <f>C37/SUM($C$37:$C$38)</f>
        <v>0.95489855602266493</v>
      </c>
    </row>
    <row r="38" spans="1:4" x14ac:dyDescent="0.3">
      <c r="A38" s="59"/>
      <c r="B38" s="30" t="s">
        <v>67</v>
      </c>
      <c r="C38" s="15">
        <v>987</v>
      </c>
      <c r="D38" s="19">
        <f>C38/SUM($C$37:$C$38)</f>
        <v>4.5101443977335037E-2</v>
      </c>
    </row>
    <row r="39" spans="1:4" x14ac:dyDescent="0.3">
      <c r="A39" s="57" t="s">
        <v>68</v>
      </c>
      <c r="B39" s="26" t="s">
        <v>69</v>
      </c>
      <c r="C39" s="10">
        <v>20456</v>
      </c>
      <c r="D39" s="17">
        <f>C39/SUM($C$39:$C$42)</f>
        <v>0.18131054838109251</v>
      </c>
    </row>
    <row r="40" spans="1:4" x14ac:dyDescent="0.3">
      <c r="A40" s="58"/>
      <c r="B40" s="2" t="s">
        <v>70</v>
      </c>
      <c r="C40" s="12">
        <v>30789</v>
      </c>
      <c r="D40" s="18">
        <f>C40/SUM($C$39:$C$42)</f>
        <v>0.27289648387296916</v>
      </c>
    </row>
    <row r="41" spans="1:4" x14ac:dyDescent="0.3">
      <c r="A41" s="58"/>
      <c r="B41" s="2" t="s">
        <v>71</v>
      </c>
      <c r="C41" s="12">
        <v>10900</v>
      </c>
      <c r="D41" s="18">
        <f>C41/SUM($C$39:$C$42)</f>
        <v>9.6611506519060836E-2</v>
      </c>
    </row>
    <row r="42" spans="1:4" x14ac:dyDescent="0.3">
      <c r="A42" s="59"/>
      <c r="B42" s="30" t="s">
        <v>72</v>
      </c>
      <c r="C42" s="15">
        <v>50678</v>
      </c>
      <c r="D42" s="19">
        <f>C42/SUM($C$39:$C$42)</f>
        <v>0.44918146122687752</v>
      </c>
    </row>
    <row r="43" spans="1:4" x14ac:dyDescent="0.3">
      <c r="A43" s="60" t="s">
        <v>133</v>
      </c>
      <c r="B43" s="26" t="s">
        <v>38</v>
      </c>
      <c r="C43" s="10">
        <v>900</v>
      </c>
      <c r="D43" s="17">
        <f>C43/SUM($C$43:$C$45)</f>
        <v>0.40394973070017953</v>
      </c>
    </row>
    <row r="44" spans="1:4" x14ac:dyDescent="0.3">
      <c r="A44" s="61"/>
      <c r="B44" s="2" t="s">
        <v>144</v>
      </c>
      <c r="C44" s="12">
        <v>559</v>
      </c>
      <c r="D44" s="18">
        <f>C44/SUM($C$43:$C$45)</f>
        <v>0.25089766606822261</v>
      </c>
    </row>
    <row r="45" spans="1:4" x14ac:dyDescent="0.3">
      <c r="A45" s="62"/>
      <c r="B45" s="30" t="s">
        <v>143</v>
      </c>
      <c r="C45" s="15">
        <v>769</v>
      </c>
      <c r="D45" s="19">
        <f>C45/SUM($C$43:$C$45)</f>
        <v>0.34515260323159785</v>
      </c>
    </row>
  </sheetData>
  <mergeCells count="10">
    <mergeCell ref="A6:D6"/>
    <mergeCell ref="A9:A16"/>
    <mergeCell ref="A17:A24"/>
    <mergeCell ref="A25:A27"/>
    <mergeCell ref="A28:A30"/>
    <mergeCell ref="A31:A33"/>
    <mergeCell ref="A34:A36"/>
    <mergeCell ref="A37:A38"/>
    <mergeCell ref="A39:A42"/>
    <mergeCell ref="A43:A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E51"/>
  <sheetViews>
    <sheetView topLeftCell="A27" zoomScale="110" zoomScaleNormal="110" workbookViewId="0">
      <selection activeCell="D50" sqref="D50"/>
    </sheetView>
  </sheetViews>
  <sheetFormatPr baseColWidth="10" defaultRowHeight="14.4" x14ac:dyDescent="0.3"/>
  <cols>
    <col min="1" max="1" width="24.5546875" customWidth="1"/>
    <col min="2" max="2" width="23.109375" customWidth="1"/>
    <col min="3" max="3" width="25.33203125" customWidth="1"/>
    <col min="4" max="4" width="8.6640625" customWidth="1"/>
    <col min="5" max="5" width="10.44140625" customWidth="1"/>
  </cols>
  <sheetData>
    <row r="1" spans="1:5" ht="15.6" x14ac:dyDescent="0.3">
      <c r="A1" s="50" t="s">
        <v>135</v>
      </c>
      <c r="C1" s="29"/>
      <c r="D1" s="29"/>
      <c r="E1" s="29"/>
    </row>
    <row r="2" spans="1:5" x14ac:dyDescent="0.3">
      <c r="A2" s="3"/>
      <c r="C2" s="29"/>
      <c r="D2" s="29"/>
      <c r="E2" s="29"/>
    </row>
    <row r="3" spans="1:5" x14ac:dyDescent="0.3">
      <c r="A3" s="48" t="s">
        <v>1</v>
      </c>
      <c r="B3" s="51"/>
      <c r="C3" s="52"/>
      <c r="D3" s="52"/>
      <c r="E3" s="52"/>
    </row>
    <row r="4" spans="1:5" x14ac:dyDescent="0.3">
      <c r="C4" s="29"/>
      <c r="D4" s="29"/>
      <c r="E4" s="29"/>
    </row>
    <row r="5" spans="1:5" ht="21" customHeight="1" x14ac:dyDescent="0.3">
      <c r="A5" s="3" t="s">
        <v>42</v>
      </c>
      <c r="C5" s="29"/>
      <c r="D5" s="29"/>
      <c r="E5" s="29"/>
    </row>
    <row r="6" spans="1:5" ht="46.5" customHeight="1" x14ac:dyDescent="0.3">
      <c r="A6" s="56" t="s">
        <v>100</v>
      </c>
      <c r="B6" s="56"/>
      <c r="C6" s="56"/>
      <c r="D6" s="56"/>
      <c r="E6" s="56"/>
    </row>
    <row r="7" spans="1:5" x14ac:dyDescent="0.3">
      <c r="A7" s="2"/>
      <c r="C7" s="29"/>
      <c r="D7" s="29"/>
      <c r="E7" s="29"/>
    </row>
    <row r="8" spans="1:5" x14ac:dyDescent="0.3">
      <c r="A8" s="33" t="s">
        <v>73</v>
      </c>
      <c r="B8" s="33" t="s">
        <v>2</v>
      </c>
      <c r="C8" s="33" t="s">
        <v>3</v>
      </c>
      <c r="D8" s="28" t="s">
        <v>4</v>
      </c>
      <c r="E8" s="28" t="s">
        <v>5</v>
      </c>
    </row>
    <row r="9" spans="1:5" x14ac:dyDescent="0.3">
      <c r="A9" s="61" t="s">
        <v>74</v>
      </c>
      <c r="B9" s="58" t="s">
        <v>75</v>
      </c>
      <c r="C9" s="2" t="s">
        <v>62</v>
      </c>
      <c r="D9" s="12">
        <v>698</v>
      </c>
      <c r="E9" s="18">
        <f>D9/SUM($D$9:$D$11)</f>
        <v>0.41671641791044778</v>
      </c>
    </row>
    <row r="10" spans="1:5" x14ac:dyDescent="0.3">
      <c r="A10" s="61"/>
      <c r="B10" s="58"/>
      <c r="C10" s="2" t="s">
        <v>63</v>
      </c>
      <c r="D10" s="12">
        <v>878</v>
      </c>
      <c r="E10" s="18">
        <f>D10/SUM($D$9:$D$11)</f>
        <v>0.52417910447761196</v>
      </c>
    </row>
    <row r="11" spans="1:5" x14ac:dyDescent="0.3">
      <c r="A11" s="61"/>
      <c r="B11" s="59"/>
      <c r="C11" s="30" t="s">
        <v>64</v>
      </c>
      <c r="D11" s="15">
        <v>99</v>
      </c>
      <c r="E11" s="19">
        <f>D11/SUM($D$9:$D$11)</f>
        <v>5.91044776119403E-2</v>
      </c>
    </row>
    <row r="12" spans="1:5" ht="15" customHeight="1" x14ac:dyDescent="0.3">
      <c r="A12" s="61"/>
      <c r="B12" s="57" t="s">
        <v>76</v>
      </c>
      <c r="C12" s="26" t="s">
        <v>62</v>
      </c>
      <c r="D12" s="10">
        <v>847347</v>
      </c>
      <c r="E12" s="17">
        <f>D12/SUM($D$12:$D$14)</f>
        <v>0.98919106333600282</v>
      </c>
    </row>
    <row r="13" spans="1:5" x14ac:dyDescent="0.3">
      <c r="A13" s="61"/>
      <c r="B13" s="58"/>
      <c r="C13" s="2" t="s">
        <v>63</v>
      </c>
      <c r="D13" s="12">
        <v>8383</v>
      </c>
      <c r="E13" s="18">
        <f>D13/SUM($D$12:$D$14)</f>
        <v>9.7862961501553811E-3</v>
      </c>
    </row>
    <row r="14" spans="1:5" x14ac:dyDescent="0.3">
      <c r="A14" s="61"/>
      <c r="B14" s="59"/>
      <c r="C14" s="30" t="s">
        <v>64</v>
      </c>
      <c r="D14" s="15">
        <v>876</v>
      </c>
      <c r="E14" s="19">
        <f>D14/SUM($D$12:$D$14)</f>
        <v>1.0226405138418363E-3</v>
      </c>
    </row>
    <row r="15" spans="1:5" ht="15" customHeight="1" x14ac:dyDescent="0.3">
      <c r="A15" s="61"/>
      <c r="B15" s="57" t="s">
        <v>77</v>
      </c>
      <c r="C15" s="26" t="s">
        <v>78</v>
      </c>
      <c r="D15" s="10">
        <v>83783</v>
      </c>
      <c r="E15" s="17">
        <f>D15/SUM($D$15:$D$16)</f>
        <v>0.98863663181743089</v>
      </c>
    </row>
    <row r="16" spans="1:5" x14ac:dyDescent="0.3">
      <c r="A16" s="61"/>
      <c r="B16" s="59"/>
      <c r="C16" s="30" t="s">
        <v>79</v>
      </c>
      <c r="D16" s="15">
        <v>963</v>
      </c>
      <c r="E16" s="19">
        <f>D16/SUM($D$15:$D$16)</f>
        <v>1.1363368182569089E-2</v>
      </c>
    </row>
    <row r="17" spans="1:5" x14ac:dyDescent="0.3">
      <c r="A17" s="61"/>
      <c r="B17" s="60" t="s">
        <v>80</v>
      </c>
      <c r="C17" s="31" t="s">
        <v>81</v>
      </c>
      <c r="D17" s="10">
        <v>7272</v>
      </c>
      <c r="E17" s="17">
        <f>D17/SUM($D$17:$D$19)</f>
        <v>7.9095750234937871E-3</v>
      </c>
    </row>
    <row r="18" spans="1:5" x14ac:dyDescent="0.3">
      <c r="A18" s="61"/>
      <c r="B18" s="61"/>
      <c r="C18" s="32" t="s">
        <v>82</v>
      </c>
      <c r="D18" s="12">
        <v>828282</v>
      </c>
      <c r="E18" s="18">
        <f>D18/SUM($D$17:$D$19)</f>
        <v>0.90090190038634232</v>
      </c>
    </row>
    <row r="19" spans="1:5" x14ac:dyDescent="0.3">
      <c r="A19" s="61"/>
      <c r="B19" s="62"/>
      <c r="C19" s="30" t="s">
        <v>83</v>
      </c>
      <c r="D19" s="15">
        <v>83838</v>
      </c>
      <c r="E19" s="19">
        <f>D19/SUM($D$17:$D$19)</f>
        <v>9.1188524590163939E-2</v>
      </c>
    </row>
    <row r="20" spans="1:5" x14ac:dyDescent="0.3">
      <c r="A20" s="61"/>
      <c r="B20" s="60" t="s">
        <v>59</v>
      </c>
      <c r="C20" s="31" t="s">
        <v>81</v>
      </c>
      <c r="D20" s="10">
        <v>8383</v>
      </c>
      <c r="E20" s="17">
        <f>D20/SUM($D$20:$D$22)</f>
        <v>9.9864195177737543E-3</v>
      </c>
    </row>
    <row r="21" spans="1:5" x14ac:dyDescent="0.3">
      <c r="A21" s="61"/>
      <c r="B21" s="61"/>
      <c r="C21" s="32" t="s">
        <v>82</v>
      </c>
      <c r="D21" s="12">
        <v>756493</v>
      </c>
      <c r="E21" s="18">
        <f>D21/SUM($D$20:$D$22)</f>
        <v>0.90118769655961117</v>
      </c>
    </row>
    <row r="22" spans="1:5" x14ac:dyDescent="0.3">
      <c r="A22" s="61"/>
      <c r="B22" s="62"/>
      <c r="C22" s="30" t="s">
        <v>83</v>
      </c>
      <c r="D22" s="15">
        <v>74564</v>
      </c>
      <c r="E22" s="19">
        <f>D22/SUM($D$20:$D$22)</f>
        <v>8.8825883922615076E-2</v>
      </c>
    </row>
    <row r="23" spans="1:5" x14ac:dyDescent="0.3">
      <c r="A23" s="61"/>
      <c r="B23" s="57" t="s">
        <v>84</v>
      </c>
      <c r="C23" s="26" t="s">
        <v>66</v>
      </c>
      <c r="D23" s="10">
        <v>7373</v>
      </c>
      <c r="E23" s="17">
        <f>D23/SUM($D$23:$D$24)</f>
        <v>0.89794178540981606</v>
      </c>
    </row>
    <row r="24" spans="1:5" x14ac:dyDescent="0.3">
      <c r="A24" s="61"/>
      <c r="B24" s="59"/>
      <c r="C24" s="30" t="s">
        <v>67</v>
      </c>
      <c r="D24" s="15">
        <v>838</v>
      </c>
      <c r="E24" s="19">
        <f>D24/SUM($D$23:$D$24)</f>
        <v>0.1020582145901839</v>
      </c>
    </row>
    <row r="25" spans="1:5" ht="15" customHeight="1" x14ac:dyDescent="0.3">
      <c r="A25" s="61"/>
      <c r="B25" s="66" t="s">
        <v>85</v>
      </c>
      <c r="C25" s="2" t="s">
        <v>38</v>
      </c>
      <c r="D25" s="12">
        <v>8383</v>
      </c>
      <c r="E25" s="34">
        <f>D25/SUM($D$25:D28)</f>
        <v>9.7659571989422059E-2</v>
      </c>
    </row>
    <row r="26" spans="1:5" x14ac:dyDescent="0.3">
      <c r="A26" s="61"/>
      <c r="B26" s="66"/>
      <c r="C26" s="2" t="s">
        <v>144</v>
      </c>
      <c r="D26" s="12">
        <v>75854</v>
      </c>
      <c r="E26" s="34">
        <f>D26/SUM($D$25:D52)</f>
        <v>2.4482134148565312E-2</v>
      </c>
    </row>
    <row r="27" spans="1:5" x14ac:dyDescent="0.3">
      <c r="A27" s="61"/>
      <c r="B27" s="66"/>
      <c r="C27" s="2" t="s">
        <v>143</v>
      </c>
      <c r="D27" s="12">
        <v>855</v>
      </c>
      <c r="E27" s="34">
        <f>D27/SUM($D$25:D53)</f>
        <v>2.759541315820305E-4</v>
      </c>
    </row>
    <row r="28" spans="1:5" x14ac:dyDescent="0.3">
      <c r="A28" s="62"/>
      <c r="B28" s="67"/>
      <c r="C28" s="30" t="s">
        <v>105</v>
      </c>
      <c r="D28" s="12">
        <v>747</v>
      </c>
      <c r="E28" s="34">
        <f>D28/SUM($D$25:D54)</f>
        <v>2.410967675927214E-4</v>
      </c>
    </row>
    <row r="29" spans="1:5" x14ac:dyDescent="0.3">
      <c r="A29" s="63" t="s">
        <v>86</v>
      </c>
      <c r="B29" s="57" t="s">
        <v>87</v>
      </c>
      <c r="C29" s="26" t="s">
        <v>88</v>
      </c>
      <c r="D29" s="10">
        <v>8383</v>
      </c>
      <c r="E29" s="17">
        <f>D29/SUM($D$29:$D$31)</f>
        <v>0.49372754579186051</v>
      </c>
    </row>
    <row r="30" spans="1:5" x14ac:dyDescent="0.3">
      <c r="A30" s="64"/>
      <c r="B30" s="58"/>
      <c r="C30" s="2" t="s">
        <v>64</v>
      </c>
      <c r="D30" s="12">
        <v>7847</v>
      </c>
      <c r="E30" s="18">
        <f t="shared" ref="E30:E31" si="0">D30/SUM($D$29:$D$31)</f>
        <v>0.46215913775840745</v>
      </c>
    </row>
    <row r="31" spans="1:5" x14ac:dyDescent="0.3">
      <c r="A31" s="64"/>
      <c r="B31" s="59"/>
      <c r="C31" s="30" t="s">
        <v>89</v>
      </c>
      <c r="D31" s="15">
        <v>749</v>
      </c>
      <c r="E31" s="19">
        <f t="shared" si="0"/>
        <v>4.4113316449732022E-2</v>
      </c>
    </row>
    <row r="32" spans="1:5" x14ac:dyDescent="0.3">
      <c r="A32" s="64"/>
      <c r="B32" s="57" t="s">
        <v>90</v>
      </c>
      <c r="C32" s="26" t="s">
        <v>63</v>
      </c>
      <c r="D32" s="10">
        <v>83954</v>
      </c>
      <c r="E32" s="17">
        <f>D32/SUM($D$31:$D$34)</f>
        <v>0.87514984728607015</v>
      </c>
    </row>
    <row r="33" spans="1:5" x14ac:dyDescent="0.3">
      <c r="A33" s="64"/>
      <c r="B33" s="58"/>
      <c r="C33" s="2" t="s">
        <v>64</v>
      </c>
      <c r="D33" s="12">
        <v>2734</v>
      </c>
      <c r="E33" s="18">
        <f t="shared" ref="E33:E34" si="1">D33/SUM($D$31:$D$34)</f>
        <v>2.8499650790672463E-2</v>
      </c>
    </row>
    <row r="34" spans="1:5" x14ac:dyDescent="0.3">
      <c r="A34" s="64"/>
      <c r="B34" s="59"/>
      <c r="C34" s="30" t="s">
        <v>89</v>
      </c>
      <c r="D34" s="15">
        <v>8494</v>
      </c>
      <c r="E34" s="19">
        <f t="shared" si="1"/>
        <v>8.8542806809060681E-2</v>
      </c>
    </row>
    <row r="35" spans="1:5" x14ac:dyDescent="0.3">
      <c r="A35" s="64"/>
      <c r="B35" s="57" t="s">
        <v>91</v>
      </c>
      <c r="C35" s="26" t="s">
        <v>78</v>
      </c>
      <c r="D35" s="10">
        <v>74733</v>
      </c>
      <c r="E35" s="17">
        <f>D35/SUM($D$35:$D$36)</f>
        <v>0.92746159001216211</v>
      </c>
    </row>
    <row r="36" spans="1:5" x14ac:dyDescent="0.3">
      <c r="A36" s="64"/>
      <c r="B36" s="59"/>
      <c r="C36" s="30" t="s">
        <v>79</v>
      </c>
      <c r="D36" s="15">
        <v>5845</v>
      </c>
      <c r="E36" s="19">
        <f>D36/SUM($D$35:$D$36)</f>
        <v>7.2538409987837865E-2</v>
      </c>
    </row>
    <row r="37" spans="1:5" x14ac:dyDescent="0.3">
      <c r="A37" s="64"/>
      <c r="B37" s="60" t="s">
        <v>92</v>
      </c>
      <c r="C37" s="31" t="s">
        <v>93</v>
      </c>
      <c r="D37" s="10">
        <v>68302</v>
      </c>
      <c r="E37" s="17">
        <f>D37/SUM($D$37:$D$39)</f>
        <v>0.44774984430823689</v>
      </c>
    </row>
    <row r="38" spans="1:5" x14ac:dyDescent="0.3">
      <c r="A38" s="64"/>
      <c r="B38" s="61"/>
      <c r="C38" s="32" t="s">
        <v>94</v>
      </c>
      <c r="D38" s="12">
        <v>8484</v>
      </c>
      <c r="E38" s="18">
        <f t="shared" ref="E38:E39" si="2">D38/SUM($D$37:$D$39)</f>
        <v>5.5616375495755349E-2</v>
      </c>
    </row>
    <row r="39" spans="1:5" x14ac:dyDescent="0.3">
      <c r="A39" s="64"/>
      <c r="B39" s="62"/>
      <c r="C39" s="30" t="s">
        <v>95</v>
      </c>
      <c r="D39" s="15">
        <v>75759</v>
      </c>
      <c r="E39" s="19">
        <f t="shared" si="2"/>
        <v>0.49663378019600773</v>
      </c>
    </row>
    <row r="40" spans="1:5" x14ac:dyDescent="0.3">
      <c r="A40" s="64"/>
      <c r="B40" s="60" t="s">
        <v>96</v>
      </c>
      <c r="C40" s="31" t="s">
        <v>93</v>
      </c>
      <c r="D40" s="10">
        <v>746302</v>
      </c>
      <c r="E40" s="17">
        <f>D40/SUM($D$40:$D$42)</f>
        <v>0.46764029327854256</v>
      </c>
    </row>
    <row r="41" spans="1:5" x14ac:dyDescent="0.3">
      <c r="A41" s="64"/>
      <c r="B41" s="61"/>
      <c r="C41" s="32" t="s">
        <v>94</v>
      </c>
      <c r="D41" s="12">
        <v>83833</v>
      </c>
      <c r="E41" s="18">
        <f>D41/SUM($D$40:$D$42)</f>
        <v>5.2530595799582552E-2</v>
      </c>
    </row>
    <row r="42" spans="1:5" x14ac:dyDescent="0.3">
      <c r="A42" s="64"/>
      <c r="B42" s="62"/>
      <c r="C42" s="30" t="s">
        <v>95</v>
      </c>
      <c r="D42" s="15">
        <v>765754</v>
      </c>
      <c r="E42" s="19">
        <f>D42/SUM($D$40:$D$42)</f>
        <v>0.47982911092187491</v>
      </c>
    </row>
    <row r="43" spans="1:5" x14ac:dyDescent="0.3">
      <c r="A43" s="64"/>
      <c r="B43" s="58" t="s">
        <v>97</v>
      </c>
      <c r="C43" s="2" t="s">
        <v>66</v>
      </c>
      <c r="D43" s="12">
        <v>757645</v>
      </c>
      <c r="E43" s="18">
        <f>D43/SUM($D$43:$D$44)</f>
        <v>0.91020653829704412</v>
      </c>
    </row>
    <row r="44" spans="1:5" x14ac:dyDescent="0.3">
      <c r="A44" s="64"/>
      <c r="B44" s="58"/>
      <c r="C44" s="30" t="s">
        <v>67</v>
      </c>
      <c r="D44" s="12">
        <v>74743</v>
      </c>
      <c r="E44" s="18">
        <f>D44/SUM($D$43:$D$44)</f>
        <v>8.9793461702955837E-2</v>
      </c>
    </row>
    <row r="45" spans="1:5" x14ac:dyDescent="0.3">
      <c r="A45" s="64"/>
      <c r="B45" s="57" t="s">
        <v>98</v>
      </c>
      <c r="C45" s="2" t="s">
        <v>69</v>
      </c>
      <c r="D45" s="12">
        <v>7857</v>
      </c>
      <c r="E45" s="18">
        <f>D45/SUM($D$45:$D$48)</f>
        <v>5.1367713590836583E-2</v>
      </c>
    </row>
    <row r="46" spans="1:5" x14ac:dyDescent="0.3">
      <c r="A46" s="64"/>
      <c r="B46" s="58"/>
      <c r="C46" s="2" t="s">
        <v>70</v>
      </c>
      <c r="D46" s="12">
        <v>62762</v>
      </c>
      <c r="E46" s="18">
        <f t="shared" ref="E46:E48" si="3">D46/SUM($D$45:$D$48)</f>
        <v>0.41032715290671828</v>
      </c>
    </row>
    <row r="47" spans="1:5" x14ac:dyDescent="0.3">
      <c r="A47" s="64"/>
      <c r="B47" s="58"/>
      <c r="C47" s="2" t="s">
        <v>71</v>
      </c>
      <c r="D47" s="12">
        <v>7574</v>
      </c>
      <c r="E47" s="18">
        <f t="shared" si="3"/>
        <v>4.9517508303041399E-2</v>
      </c>
    </row>
    <row r="48" spans="1:5" x14ac:dyDescent="0.3">
      <c r="A48" s="64"/>
      <c r="B48" s="59"/>
      <c r="C48" s="30" t="s">
        <v>72</v>
      </c>
      <c r="D48" s="12">
        <v>74763</v>
      </c>
      <c r="E48" s="18">
        <f t="shared" si="3"/>
        <v>0.48878762519940377</v>
      </c>
    </row>
    <row r="49" spans="1:5" x14ac:dyDescent="0.3">
      <c r="A49" s="64"/>
      <c r="B49" s="58" t="s">
        <v>99</v>
      </c>
      <c r="C49" s="26" t="s">
        <v>38</v>
      </c>
      <c r="D49" s="12">
        <v>76793</v>
      </c>
      <c r="E49" s="18">
        <f>D49/SUM($D$49:$D$51)</f>
        <v>0.89309763330813519</v>
      </c>
    </row>
    <row r="50" spans="1:5" x14ac:dyDescent="0.3">
      <c r="A50" s="64"/>
      <c r="B50" s="58"/>
      <c r="C50" s="2" t="s">
        <v>144</v>
      </c>
      <c r="D50" s="12">
        <v>783</v>
      </c>
      <c r="E50" s="18">
        <f t="shared" ref="E50" si="4">D50/SUM($D$49:$D$51)</f>
        <v>9.1062394603709951E-3</v>
      </c>
    </row>
    <row r="51" spans="1:5" x14ac:dyDescent="0.3">
      <c r="A51" s="65"/>
      <c r="B51" s="59"/>
      <c r="C51" s="30" t="s">
        <v>143</v>
      </c>
      <c r="D51" s="15">
        <v>8409</v>
      </c>
      <c r="E51" s="19">
        <f>D51/SUM($D$49:$D$51)</f>
        <v>9.7796127231493862E-2</v>
      </c>
    </row>
  </sheetData>
  <mergeCells count="18">
    <mergeCell ref="A6:E6"/>
    <mergeCell ref="A9:A28"/>
    <mergeCell ref="B9:B11"/>
    <mergeCell ref="B12:B14"/>
    <mergeCell ref="B15:B16"/>
    <mergeCell ref="B17:B19"/>
    <mergeCell ref="B20:B22"/>
    <mergeCell ref="B23:B24"/>
    <mergeCell ref="B25:B28"/>
    <mergeCell ref="A29:A51"/>
    <mergeCell ref="B29:B31"/>
    <mergeCell ref="B32:B34"/>
    <mergeCell ref="B35:B36"/>
    <mergeCell ref="B37:B39"/>
    <mergeCell ref="B40:B42"/>
    <mergeCell ref="B43:B44"/>
    <mergeCell ref="B45:B48"/>
    <mergeCell ref="B49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38"/>
  <sheetViews>
    <sheetView topLeftCell="A18" zoomScale="130" zoomScaleNormal="130" workbookViewId="0">
      <selection activeCell="E1" sqref="E1"/>
    </sheetView>
  </sheetViews>
  <sheetFormatPr baseColWidth="10" defaultColWidth="11.44140625" defaultRowHeight="14.4" x14ac:dyDescent="0.3"/>
  <cols>
    <col min="1" max="1" width="14.33203125" customWidth="1"/>
    <col min="2" max="2" width="13.5546875" customWidth="1"/>
  </cols>
  <sheetData>
    <row r="1" spans="1:6" x14ac:dyDescent="0.3">
      <c r="A1" s="3" t="s">
        <v>136</v>
      </c>
      <c r="B1" s="29"/>
      <c r="C1" s="29"/>
      <c r="D1" s="29"/>
    </row>
    <row r="2" spans="1:6" x14ac:dyDescent="0.3">
      <c r="B2" s="29"/>
      <c r="C2" s="29"/>
      <c r="D2" s="29"/>
    </row>
    <row r="3" spans="1:6" x14ac:dyDescent="0.3">
      <c r="A3" s="48" t="s">
        <v>1</v>
      </c>
      <c r="B3" s="52"/>
      <c r="C3" s="52"/>
      <c r="D3" s="52"/>
      <c r="E3" s="51"/>
      <c r="F3" s="51"/>
    </row>
    <row r="4" spans="1:6" x14ac:dyDescent="0.3">
      <c r="A4" s="3"/>
      <c r="B4" s="29"/>
      <c r="C4" s="29"/>
      <c r="D4" s="29"/>
    </row>
    <row r="5" spans="1:6" x14ac:dyDescent="0.3">
      <c r="A5" s="3" t="s">
        <v>42</v>
      </c>
      <c r="B5" s="29"/>
      <c r="C5" s="29"/>
      <c r="D5" s="29"/>
    </row>
    <row r="6" spans="1:6" ht="30.75" customHeight="1" x14ac:dyDescent="0.3">
      <c r="A6" s="56" t="s">
        <v>139</v>
      </c>
      <c r="B6" s="56"/>
      <c r="C6" s="56"/>
      <c r="D6" s="56"/>
      <c r="E6" s="56"/>
      <c r="F6" s="56"/>
    </row>
    <row r="7" spans="1:6" ht="14.25" customHeight="1" x14ac:dyDescent="0.3">
      <c r="A7" s="56" t="s">
        <v>137</v>
      </c>
      <c r="B7" s="56"/>
      <c r="C7" s="56"/>
      <c r="D7" s="56"/>
      <c r="E7" s="56"/>
      <c r="F7" s="56"/>
    </row>
    <row r="8" spans="1:6" ht="31.5" customHeight="1" x14ac:dyDescent="0.3">
      <c r="A8" s="56" t="s">
        <v>138</v>
      </c>
      <c r="B8" s="56"/>
      <c r="C8" s="56"/>
      <c r="D8" s="56"/>
      <c r="E8" s="56"/>
      <c r="F8" s="56"/>
    </row>
    <row r="9" spans="1:6" x14ac:dyDescent="0.3">
      <c r="A9" s="2"/>
      <c r="B9" s="29"/>
      <c r="C9" s="29"/>
      <c r="D9" s="29"/>
    </row>
    <row r="10" spans="1:6" ht="28.8" x14ac:dyDescent="0.3">
      <c r="A10" s="45" t="s">
        <v>73</v>
      </c>
      <c r="B10" s="45" t="s">
        <v>2</v>
      </c>
      <c r="C10" s="28" t="s">
        <v>129</v>
      </c>
      <c r="D10" s="28" t="s">
        <v>5</v>
      </c>
      <c r="E10" s="46" t="s">
        <v>130</v>
      </c>
      <c r="F10" s="28" t="s">
        <v>5</v>
      </c>
    </row>
    <row r="11" spans="1:6" x14ac:dyDescent="0.3">
      <c r="A11" s="53" t="s">
        <v>101</v>
      </c>
      <c r="B11" s="35" t="s">
        <v>102</v>
      </c>
      <c r="C11" s="36">
        <v>1</v>
      </c>
      <c r="D11" s="37">
        <f t="shared" ref="D11:D35" si="0">C11/SUM($C$11:$C$35)</f>
        <v>4.3754906018837364E-7</v>
      </c>
      <c r="E11" s="39">
        <v>1</v>
      </c>
      <c r="F11" s="37">
        <f>E11/SUM($E$11:$E$35)</f>
        <v>9.862128975415807E-10</v>
      </c>
    </row>
    <row r="12" spans="1:6" x14ac:dyDescent="0.3">
      <c r="A12" s="54"/>
      <c r="B12" s="38" t="s">
        <v>103</v>
      </c>
      <c r="C12" s="39">
        <v>1</v>
      </c>
      <c r="D12" s="40">
        <f t="shared" si="0"/>
        <v>4.3754906018837364E-7</v>
      </c>
      <c r="E12" s="39">
        <v>1</v>
      </c>
      <c r="F12" s="40">
        <f>E12/SUM($E$11:$E$35)</f>
        <v>9.862128975415807E-10</v>
      </c>
    </row>
    <row r="13" spans="1:6" x14ac:dyDescent="0.3">
      <c r="A13" s="54"/>
      <c r="B13" s="41" t="s">
        <v>104</v>
      </c>
      <c r="C13" s="39">
        <v>1</v>
      </c>
      <c r="D13" s="40">
        <f t="shared" si="0"/>
        <v>4.3754906018837364E-7</v>
      </c>
      <c r="E13" s="39">
        <v>1</v>
      </c>
      <c r="F13" s="40">
        <f t="shared" ref="F13:F35" si="1">E13/SUM($E$11:$E$35)</f>
        <v>9.862128975415807E-10</v>
      </c>
    </row>
    <row r="14" spans="1:6" x14ac:dyDescent="0.3">
      <c r="A14" s="54"/>
      <c r="B14" s="41" t="s">
        <v>105</v>
      </c>
      <c r="C14" s="39">
        <v>1</v>
      </c>
      <c r="D14" s="40">
        <f t="shared" si="0"/>
        <v>4.3754906018837364E-7</v>
      </c>
      <c r="E14" s="39">
        <v>1</v>
      </c>
      <c r="F14" s="40">
        <f t="shared" si="1"/>
        <v>9.862128975415807E-10</v>
      </c>
    </row>
    <row r="15" spans="1:6" x14ac:dyDescent="0.3">
      <c r="A15" s="54"/>
      <c r="B15" s="41" t="s">
        <v>106</v>
      </c>
      <c r="C15" s="39">
        <v>1</v>
      </c>
      <c r="D15" s="40">
        <f t="shared" si="0"/>
        <v>4.3754906018837364E-7</v>
      </c>
      <c r="E15" s="39">
        <v>1</v>
      </c>
      <c r="F15" s="40">
        <f t="shared" si="1"/>
        <v>9.862128975415807E-10</v>
      </c>
    </row>
    <row r="16" spans="1:6" x14ac:dyDescent="0.3">
      <c r="A16" s="54"/>
      <c r="B16" s="41" t="s">
        <v>107</v>
      </c>
      <c r="C16" s="39">
        <v>1</v>
      </c>
      <c r="D16" s="40">
        <f t="shared" si="0"/>
        <v>4.3754906018837364E-7</v>
      </c>
      <c r="E16" s="39">
        <v>1</v>
      </c>
      <c r="F16" s="40">
        <f t="shared" si="1"/>
        <v>9.862128975415807E-10</v>
      </c>
    </row>
    <row r="17" spans="1:6" x14ac:dyDescent="0.3">
      <c r="A17" s="54"/>
      <c r="B17" s="41" t="s">
        <v>108</v>
      </c>
      <c r="C17" s="39">
        <v>1</v>
      </c>
      <c r="D17" s="40">
        <f t="shared" si="0"/>
        <v>4.3754906018837364E-7</v>
      </c>
      <c r="E17" s="39">
        <v>1</v>
      </c>
      <c r="F17" s="40">
        <f t="shared" si="1"/>
        <v>9.862128975415807E-10</v>
      </c>
    </row>
    <row r="18" spans="1:6" x14ac:dyDescent="0.3">
      <c r="A18" s="54"/>
      <c r="B18" s="41" t="s">
        <v>109</v>
      </c>
      <c r="C18" s="39">
        <v>1</v>
      </c>
      <c r="D18" s="40">
        <f t="shared" si="0"/>
        <v>4.3754906018837364E-7</v>
      </c>
      <c r="E18" s="39">
        <v>1</v>
      </c>
      <c r="F18" s="40">
        <f t="shared" si="1"/>
        <v>9.862128975415807E-10</v>
      </c>
    </row>
    <row r="19" spans="1:6" x14ac:dyDescent="0.3">
      <c r="A19" s="54"/>
      <c r="B19" s="38" t="s">
        <v>110</v>
      </c>
      <c r="C19" s="39">
        <v>1</v>
      </c>
      <c r="D19" s="40">
        <f t="shared" si="0"/>
        <v>4.3754906018837364E-7</v>
      </c>
      <c r="E19" s="39">
        <v>1</v>
      </c>
      <c r="F19" s="40">
        <f t="shared" si="1"/>
        <v>9.862128975415807E-10</v>
      </c>
    </row>
    <row r="20" spans="1:6" x14ac:dyDescent="0.3">
      <c r="A20" s="54"/>
      <c r="B20" s="38" t="s">
        <v>111</v>
      </c>
      <c r="C20" s="39">
        <v>1</v>
      </c>
      <c r="D20" s="40">
        <f t="shared" si="0"/>
        <v>4.3754906018837364E-7</v>
      </c>
      <c r="E20" s="39">
        <v>1</v>
      </c>
      <c r="F20" s="40">
        <f t="shared" si="1"/>
        <v>9.862128975415807E-10</v>
      </c>
    </row>
    <row r="21" spans="1:6" x14ac:dyDescent="0.3">
      <c r="A21" s="54"/>
      <c r="B21" s="38" t="s">
        <v>112</v>
      </c>
      <c r="C21" s="39">
        <v>1</v>
      </c>
      <c r="D21" s="40">
        <f t="shared" si="0"/>
        <v>4.3754906018837364E-7</v>
      </c>
      <c r="E21" s="39">
        <v>1</v>
      </c>
      <c r="F21" s="40">
        <f t="shared" si="1"/>
        <v>9.862128975415807E-10</v>
      </c>
    </row>
    <row r="22" spans="1:6" x14ac:dyDescent="0.3">
      <c r="A22" s="54"/>
      <c r="B22" s="38" t="s">
        <v>113</v>
      </c>
      <c r="C22" s="39">
        <v>72372</v>
      </c>
      <c r="D22" s="40">
        <f t="shared" si="0"/>
        <v>3.1666300583952978E-2</v>
      </c>
      <c r="E22" s="39">
        <v>82828289</v>
      </c>
      <c r="F22" s="40">
        <f t="shared" si="1"/>
        <v>8.1686326893101444E-2</v>
      </c>
    </row>
    <row r="23" spans="1:6" x14ac:dyDescent="0.3">
      <c r="A23" s="54"/>
      <c r="B23" s="38" t="s">
        <v>114</v>
      </c>
      <c r="C23" s="39">
        <v>83833</v>
      </c>
      <c r="D23" s="40">
        <f t="shared" si="0"/>
        <v>3.6681050362771923E-2</v>
      </c>
      <c r="E23" s="39">
        <v>8383838</v>
      </c>
      <c r="F23" s="40">
        <f t="shared" si="1"/>
        <v>8.2682491664992103E-3</v>
      </c>
    </row>
    <row r="24" spans="1:6" x14ac:dyDescent="0.3">
      <c r="A24" s="54"/>
      <c r="B24" s="38" t="s">
        <v>38</v>
      </c>
      <c r="C24" s="39">
        <v>737838</v>
      </c>
      <c r="D24" s="40">
        <f t="shared" si="0"/>
        <v>0.32284032347126923</v>
      </c>
      <c r="E24" s="39">
        <v>838393932</v>
      </c>
      <c r="F24" s="40">
        <f t="shared" si="1"/>
        <v>0.82683490895899903</v>
      </c>
    </row>
    <row r="25" spans="1:6" x14ac:dyDescent="0.3">
      <c r="A25" s="54"/>
      <c r="B25" s="38" t="s">
        <v>115</v>
      </c>
      <c r="C25" s="39">
        <v>1</v>
      </c>
      <c r="D25" s="40">
        <f t="shared" si="0"/>
        <v>4.3754906018837364E-7</v>
      </c>
      <c r="E25" s="39">
        <v>1</v>
      </c>
      <c r="F25" s="40">
        <f t="shared" si="1"/>
        <v>9.862128975415807E-10</v>
      </c>
    </row>
    <row r="26" spans="1:6" x14ac:dyDescent="0.3">
      <c r="A26" s="54"/>
      <c r="B26" s="41" t="s">
        <v>116</v>
      </c>
      <c r="C26" s="39">
        <v>1</v>
      </c>
      <c r="D26" s="40">
        <f t="shared" si="0"/>
        <v>4.3754906018837364E-7</v>
      </c>
      <c r="E26" s="39">
        <v>1</v>
      </c>
      <c r="F26" s="40">
        <f t="shared" si="1"/>
        <v>9.862128975415807E-10</v>
      </c>
    </row>
    <row r="27" spans="1:6" x14ac:dyDescent="0.3">
      <c r="A27" s="54"/>
      <c r="B27" s="38" t="s">
        <v>117</v>
      </c>
      <c r="C27" s="39">
        <v>1</v>
      </c>
      <c r="D27" s="40">
        <f t="shared" si="0"/>
        <v>4.3754906018837364E-7</v>
      </c>
      <c r="E27" s="39">
        <v>1</v>
      </c>
      <c r="F27" s="40">
        <f t="shared" si="1"/>
        <v>9.862128975415807E-10</v>
      </c>
    </row>
    <row r="28" spans="1:6" x14ac:dyDescent="0.3">
      <c r="A28" s="54"/>
      <c r="B28" s="38" t="s">
        <v>118</v>
      </c>
      <c r="C28" s="39">
        <v>1</v>
      </c>
      <c r="D28" s="40">
        <f t="shared" si="0"/>
        <v>4.3754906018837364E-7</v>
      </c>
      <c r="E28" s="39">
        <v>1</v>
      </c>
      <c r="F28" s="40">
        <f t="shared" si="1"/>
        <v>9.862128975415807E-10</v>
      </c>
    </row>
    <row r="29" spans="1:6" x14ac:dyDescent="0.3">
      <c r="A29" s="54"/>
      <c r="B29" s="38" t="s">
        <v>119</v>
      </c>
      <c r="C29" s="39">
        <v>745748</v>
      </c>
      <c r="D29" s="40">
        <f t="shared" si="0"/>
        <v>0.32630133653735927</v>
      </c>
      <c r="E29" s="39">
        <v>535372</v>
      </c>
      <c r="F29" s="40">
        <f t="shared" si="1"/>
        <v>5.2799077138263116E-4</v>
      </c>
    </row>
    <row r="30" spans="1:6" x14ac:dyDescent="0.3">
      <c r="A30" s="54"/>
      <c r="B30" s="38" t="s">
        <v>120</v>
      </c>
      <c r="C30" s="39">
        <v>1</v>
      </c>
      <c r="D30" s="40">
        <f t="shared" si="0"/>
        <v>4.3754906018837364E-7</v>
      </c>
      <c r="E30" s="39">
        <v>1</v>
      </c>
      <c r="F30" s="40">
        <f t="shared" si="1"/>
        <v>9.862128975415807E-10</v>
      </c>
    </row>
    <row r="31" spans="1:6" x14ac:dyDescent="0.3">
      <c r="A31" s="54"/>
      <c r="B31" s="38" t="s">
        <v>121</v>
      </c>
      <c r="C31" s="39">
        <v>1</v>
      </c>
      <c r="D31" s="40">
        <f t="shared" si="0"/>
        <v>4.3754906018837364E-7</v>
      </c>
      <c r="E31" s="39">
        <v>1</v>
      </c>
      <c r="F31" s="40">
        <f t="shared" si="1"/>
        <v>9.862128975415807E-10</v>
      </c>
    </row>
    <row r="32" spans="1:6" x14ac:dyDescent="0.3">
      <c r="A32" s="54"/>
      <c r="B32" s="38" t="s">
        <v>122</v>
      </c>
      <c r="C32" s="39">
        <v>1</v>
      </c>
      <c r="D32" s="40">
        <f t="shared" si="0"/>
        <v>4.3754906018837364E-7</v>
      </c>
      <c r="E32" s="39">
        <v>1</v>
      </c>
      <c r="F32" s="40">
        <f t="shared" si="1"/>
        <v>9.862128975415807E-10</v>
      </c>
    </row>
    <row r="33" spans="1:6" x14ac:dyDescent="0.3">
      <c r="A33" s="54"/>
      <c r="B33" s="38" t="s">
        <v>123</v>
      </c>
      <c r="C33" s="39">
        <v>1</v>
      </c>
      <c r="D33" s="40">
        <f t="shared" si="0"/>
        <v>4.3754906018837364E-7</v>
      </c>
      <c r="E33" s="39">
        <v>1</v>
      </c>
      <c r="F33" s="40">
        <f t="shared" si="1"/>
        <v>9.862128975415807E-10</v>
      </c>
    </row>
    <row r="34" spans="1:6" x14ac:dyDescent="0.3">
      <c r="A34" s="54"/>
      <c r="B34" s="38" t="s">
        <v>124</v>
      </c>
      <c r="C34" s="39">
        <v>1</v>
      </c>
      <c r="D34" s="40">
        <f t="shared" si="0"/>
        <v>4.3754906018837364E-7</v>
      </c>
      <c r="E34" s="39">
        <v>1</v>
      </c>
      <c r="F34" s="40">
        <f t="shared" si="1"/>
        <v>9.862128975415807E-10</v>
      </c>
    </row>
    <row r="35" spans="1:6" x14ac:dyDescent="0.3">
      <c r="A35" s="54"/>
      <c r="B35" s="38" t="s">
        <v>125</v>
      </c>
      <c r="C35" s="39">
        <v>645647</v>
      </c>
      <c r="D35" s="40">
        <f t="shared" si="0"/>
        <v>0.28250223806344288</v>
      </c>
      <c r="E35" s="39">
        <v>83838393</v>
      </c>
      <c r="F35" s="40">
        <f t="shared" si="1"/>
        <v>8.2682504485759784E-2</v>
      </c>
    </row>
    <row r="36" spans="1:6" x14ac:dyDescent="0.3">
      <c r="A36" s="53" t="s">
        <v>126</v>
      </c>
      <c r="B36" s="47" t="s">
        <v>127</v>
      </c>
      <c r="C36" s="36">
        <v>84843</v>
      </c>
      <c r="D36" s="37">
        <f>C36/SUM($C$36:$C$38)</f>
        <v>0.16047960596499988</v>
      </c>
      <c r="E36" s="36">
        <v>63626</v>
      </c>
      <c r="F36" s="37">
        <f>E36/SUM($E$36:$E$38)</f>
        <v>6.9016237136606068E-2</v>
      </c>
    </row>
    <row r="37" spans="1:6" x14ac:dyDescent="0.3">
      <c r="A37" s="54"/>
      <c r="B37" s="38" t="s">
        <v>128</v>
      </c>
      <c r="C37" s="39">
        <v>6465</v>
      </c>
      <c r="D37" s="40">
        <f>C37/SUM($C$36:$C$38)</f>
        <v>1.2228476746033548E-2</v>
      </c>
      <c r="E37" s="39">
        <v>828929</v>
      </c>
      <c r="F37" s="40">
        <f>E37/SUM($E$36:$E$38)</f>
        <v>0.89915381186008447</v>
      </c>
    </row>
    <row r="38" spans="1:6" x14ac:dyDescent="0.3">
      <c r="A38" s="55"/>
      <c r="B38" s="42" t="s">
        <v>145</v>
      </c>
      <c r="C38" s="43">
        <v>437376</v>
      </c>
      <c r="D38" s="44">
        <f>C38/SUM($C$36:$C$38)</f>
        <v>0.82729191728896656</v>
      </c>
      <c r="E38" s="43">
        <v>29344</v>
      </c>
      <c r="F38" s="44">
        <f>E38/SUM($E$36:$E$38)</f>
        <v>3.1829951003309473E-2</v>
      </c>
    </row>
  </sheetData>
  <mergeCells count="5">
    <mergeCell ref="A11:A35"/>
    <mergeCell ref="A36:A38"/>
    <mergeCell ref="A7:F7"/>
    <mergeCell ref="A8:F8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Producto pasivo</vt:lpstr>
      <vt:lpstr>Servicios</vt:lpstr>
      <vt:lpstr>ZG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García</dc:creator>
  <cp:lastModifiedBy>carlos herrera palma</cp:lastModifiedBy>
  <dcterms:created xsi:type="dcterms:W3CDTF">2015-08-10T15:20:54Z</dcterms:created>
  <dcterms:modified xsi:type="dcterms:W3CDTF">2026-04-17T15:19:38Z</dcterms:modified>
</cp:coreProperties>
</file>