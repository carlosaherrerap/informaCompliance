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github_Projects\antiDark\docs\"/>
    </mc:Choice>
  </mc:AlternateContent>
  <xr:revisionPtr revIDLastSave="0" documentId="11_99DE51828C25D1CD230AC7E67D26EB6FE7768A0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RO-01" sheetId="11" r:id="rId1"/>
    <sheet name="SARO-02" sheetId="1" r:id="rId2"/>
    <sheet name="Sustentos" sheetId="6" r:id="rId3"/>
    <sheet name="Riesgo Materializado" sheetId="12" r:id="rId4"/>
    <sheet name="Parámetros" sheetId="7" state="hidden" r:id="rId5"/>
    <sheet name="Cálculo Informe" sheetId="9" state="hidden" r:id="rId6"/>
    <sheet name="Líneas de Negocio" sheetId="10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4" hidden="1">Parámetros!$B$2:$M$201</definedName>
    <definedName name="_xlnm._FilterDatabase" localSheetId="1" hidden="1">'SARO-02'!$A$5:$BN$31</definedName>
    <definedName name="Administración_de_Tasas_y_Tarifas">Parámetros!$G$173:$G$175</definedName>
    <definedName name="Administración_patrimonial">Parámetros!$G$141:$G$142</definedName>
    <definedName name="Administración_y_Canje_de_Cheques">Parámetros!$G$150:$G$151</definedName>
    <definedName name="Adquisiciones">Parámetros!$G$130:$G$132</definedName>
    <definedName name="_xlnm.Print_Area" localSheetId="0">'SARO-01'!$A$1:$H$26</definedName>
    <definedName name="Banca_corresponsal">Parámetros!$G$72</definedName>
    <definedName name="Captación_de_Productos">Parámetros!$G$18:$G$21</definedName>
    <definedName name="CARACTERIZACION">[1]CARACTERIZACION!$F$3:$K$144</definedName>
    <definedName name="CAUSAL">[1]TABLAS!$H$3:$I$9</definedName>
    <definedName name="Clasificación_de_Cartera_y_Gestión_de_Provisiones">Parámetros!$G$92:$G$93</definedName>
    <definedName name="Clientes">Parámetros!$E$6:$E$7</definedName>
    <definedName name="Clientes_productos_y_prácticas_empresariales">Parámetros!$P$14:$P$18</definedName>
    <definedName name="Colocaciones">Parámetros!$E$13:$E$17</definedName>
    <definedName name="Compensaciones_del_Colaborador">Parámetros!$G$123:$G$125</definedName>
    <definedName name="Compra_de_Cartera">Parámetros!$G$70:$G$71</definedName>
    <definedName name="Control_Interno">Parámetros!$E$59:$E$61</definedName>
    <definedName name="Control_Presupuestal">Parámetros!$E$5</definedName>
    <definedName name="Daños_a_activos_materiales">Parámetros!$P$20:$P$20</definedName>
    <definedName name="Desarrollo_de_Software">Parámetros!$G$164:$G$167</definedName>
    <definedName name="Desarrollo_y_Administración_del_Presupuesto">Parámetros!$G$9</definedName>
    <definedName name="DESCR_ORIGEN">[2]Hoja1!$H$2:$H$20</definedName>
    <definedName name="Ejecución_entrega_y_gestión_de_procesos">Parámetros!$P$24:$P$29</definedName>
    <definedName name="Eventos_externos">Parámetros!$E$79:$E$83</definedName>
    <definedName name="Fondeo">Parámetros!$E$8:$E$10</definedName>
    <definedName name="Fondeo_de_Recursos">Parámetros!$G$26:$G$27</definedName>
    <definedName name="Fraude_externo">Parámetros!$P$7:$P$8</definedName>
    <definedName name="Fraude_interno">Parámetros!$P$4:$P$5</definedName>
    <definedName name="Gestión_Contable">Parámetros!$G$176:$G$178</definedName>
    <definedName name="Gestión_de_Administración">Parámetros!$E$40:$E$44</definedName>
    <definedName name="Gestión_de_Auditoría_Interna">Parámetros!$G$198:$G$199</definedName>
    <definedName name="Gestión_de_Calidad_y_Servicio_al_Cliente">Parámetros!$G$13:$G$17</definedName>
    <definedName name="Gestion_de_Cobranzas_Empresas">Parámetros!$G$190:$G$197</definedName>
    <definedName name="Gestión_de_Cobranzas_Personas">Parámetros!$G$182:$G$189</definedName>
    <definedName name="Gestión_de_Cobranzas_y_Recuperaciones">Parámetros!$E$57:$E$58</definedName>
    <definedName name="Gestión_de_Contratos">Parámetros!$G$103:$G$104</definedName>
    <definedName name="Gestión_de_Cumplimiento_Normativo">Parámetros!$G$200</definedName>
    <definedName name="Gestión_de_Depósitos">Parámetros!$G$162:$G$163</definedName>
    <definedName name="Gestión_de_digitalización_de_files">Parámetros!$G$139:$G$140</definedName>
    <definedName name="Gestión_de_Dinero_y_Valorados">Parámetros!$G$147:$G$149</definedName>
    <definedName name="Gestión_de_Embargos">Parámetros!$G$110</definedName>
    <definedName name="Gestión_de_Garantías">Parámetros!$G$65:$G$69</definedName>
    <definedName name="Gestión_de_Gastos_e_Ingresos">Parámetros!$G$179:$G$180</definedName>
    <definedName name="Gestión_de_Infraestructura">Parámetros!$G$133:$G$134</definedName>
    <definedName name="Gestión_de_la_Continuidad_del_Negocio">Parámetros!$G$94:$G$95</definedName>
    <definedName name="Gestión_de_Marketing">Parámetros!$G$4:$G$8</definedName>
    <definedName name="Gestión_de_Operaciones">Parámetros!$E$45:$E$50</definedName>
    <definedName name="Gestión_de_Operaciones_de_TI">Parámetros!$G$168:$G$172</definedName>
    <definedName name="Gestión_de_Planeamiento_Estratégico">Parámetros!$G$3</definedName>
    <definedName name="Gestión_de_Poderes">Parámetros!$G$105:$G$106</definedName>
    <definedName name="Gestión_de_Prevención_de_Lavado_de_Activos">Parámetros!$G$201</definedName>
    <definedName name="Gestión_de_Procesos">Parámetros!$E$38:$E$39</definedName>
    <definedName name="Gestión_de_Procesos_Legales">Parámetros!$G$107:$G$109</definedName>
    <definedName name="Gestión_de_Riesgo_Crediticio_y_Cambiario">Parámetros!$G$85:$G$89</definedName>
    <definedName name="Gestión_de_Riesgo_Operacional">Parámetros!$G$96:$G$98</definedName>
    <definedName name="Gestión_de_Riesgos">Parámetros!$E$22:$E$29</definedName>
    <definedName name="Gestión_de_RRHH">Parámetros!$E$35:$E$37</definedName>
    <definedName name="Gestión_de_Seguridad_de_la_Información">Parámetros!$G$99:$G$100</definedName>
    <definedName name="Gestión_de_Seguros">Parámetros!$G$82:$G$83</definedName>
    <definedName name="Gestión_de_Servicios_asociados_a_la_Banca_x_internet">Parámetros!$G$73:$G$77</definedName>
    <definedName name="Gestión_de_Servicios_internos">Parámetros!$G$135:$G$138</definedName>
    <definedName name="Gestión_de_Tecnología_de_Información">Parámetros!$E$51:$E$52</definedName>
    <definedName name="Gestión_de_Transferencias">Parámetros!$G$78:$G$81</definedName>
    <definedName name="Gestión_del_Colaborador">Parámetros!$G$114:$G$122</definedName>
    <definedName name="Gestión_del_Riesgo_Ambiental">Parámetros!$G$101</definedName>
    <definedName name="Gestión_del_Riesgo_de_Liquidez">Parámetros!$G$90</definedName>
    <definedName name="Gestión_del_Riesgo_de_Mercado">Parámetros!$G$91</definedName>
    <definedName name="Gestión_Financiera_y_Contable">Parámetros!$E$53:$E$56</definedName>
    <definedName name="Gestión_Legal">Parámetros!$E$30:$E$34</definedName>
    <definedName name="Gestión_Normativa">Parámetros!$G$126</definedName>
    <definedName name="Gestión_Operativa_de_Agencias">Parámetros!$G$143:$G$146</definedName>
    <definedName name="Gestión_Operativa_de_ATMs">Parámetros!$G$152:$G$153</definedName>
    <definedName name="Gestión_Operativa_de_Créditos">Parámetros!$G$154:$G$161</definedName>
    <definedName name="Gestión_Secretaría_General">Parámetros!$G$102</definedName>
    <definedName name="Gestión_Tributaria">Parámetros!$G$181</definedName>
    <definedName name="Interrupción_del_negocio_y_fallos_en_los_sistemas">Parámetros!$P$22:$P$22</definedName>
    <definedName name="Inversiones_Financieras">Parámetros!$G$28:$G$30</definedName>
    <definedName name="Inversiones_y_Mesa_de_Dinero">Parámetros!$E$11:$E$12</definedName>
    <definedName name="LINEANEG2" localSheetId="3">[3]Procesos!$A$28:$A$32</definedName>
    <definedName name="LINEANEG2">[4]Procesos!$A$28:$A$32</definedName>
    <definedName name="MACROPROCESO3" localSheetId="3">[3]Procesos!$B$2:$B$17</definedName>
    <definedName name="MACROPROCESO3">[4]Procesos!$B$2:$B$17</definedName>
    <definedName name="Mesa_de_Dinero">Parámetros!$G$31:$G$32</definedName>
    <definedName name="Otorgamiento_de_Créditos">Parámetros!$G$33:$G$48</definedName>
    <definedName name="Personal">Parámetros!$E$67:$E$72</definedName>
    <definedName name="Planeamiento_y_Desarrollo">Parámetros!$E$3:$E$4</definedName>
    <definedName name="Proceso_de_atención_de_proyectos_y_requerimientos">Parámetros!$G$127:$G$129</definedName>
    <definedName name="Procesos_Internos">Parámetros!$E$73:$E$75</definedName>
    <definedName name="Recaudación">Parámetros!$G$84</definedName>
    <definedName name="Reclutamiento_y_selección_de_personal">Parámetros!$G$111:$G$113</definedName>
    <definedName name="Relaciones_laborales_y_seguridad_en_el_puesto_de_trabajo">Parámetros!$P$10:$P$12</definedName>
    <definedName name="Servicios_Bancarios">Parámetros!$E$18:$E$21</definedName>
    <definedName name="SISTEMAS">[2]Hoja1!$A$92:$A$188</definedName>
    <definedName name="SUBCAUSAL">[1]TABLAS!$K$3:$L$31</definedName>
    <definedName name="SUBCAUSALFILIAL">[1]TABLAS!$H$12:$I$31</definedName>
    <definedName name="Tecnologia_de_Informacion">Parámetros!$E$76:$E$78</definedName>
    <definedName name="_xlnm.Print_Titles" localSheetId="0">'SARO-01'!$1:$9</definedName>
    <definedName name="Transaccionalidad">Parámetros!$G$22:$G$25</definedName>
    <definedName name="Transaccionalidad_PostDesembolso">Parámetros!$G$49:$G$64</definedName>
    <definedName name="Vinculación">Parámetros!$G$10:$G$12</definedName>
    <definedName name="Z_77062731_6C45_11D7_86A2_00105AE1FEF0_.wvu.PrintArea" localSheetId="0" hidden="1">'SARO-01'!$B$3:$H$26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7" i="1" l="1"/>
  <c r="AN17" i="1"/>
  <c r="AO17" i="1"/>
  <c r="AP17" i="1"/>
  <c r="AQ17" i="1"/>
  <c r="AR17" i="1"/>
  <c r="AS17" i="1"/>
  <c r="AT17" i="1"/>
  <c r="U16" i="1"/>
  <c r="U15" i="1"/>
  <c r="T15" i="1" s="1"/>
  <c r="T16" i="1"/>
  <c r="W16" i="1" s="1"/>
  <c r="Q15" i="1"/>
  <c r="Q16" i="1"/>
  <c r="AU15" i="1"/>
  <c r="AV15" i="1" s="1"/>
  <c r="H15" i="1"/>
  <c r="U14" i="1"/>
  <c r="U13" i="1"/>
  <c r="U10" i="1"/>
  <c r="U8" i="1"/>
  <c r="U9" i="1"/>
  <c r="U6" i="1"/>
  <c r="D9" i="6"/>
  <c r="W15" i="1" l="1"/>
  <c r="AU17" i="1"/>
  <c r="AV17" i="1" s="1"/>
  <c r="J151" i="12"/>
  <c r="I151" i="12"/>
  <c r="H151" i="12"/>
  <c r="G151" i="12"/>
  <c r="F151" i="12"/>
  <c r="E151" i="12"/>
  <c r="D151" i="12"/>
  <c r="C151" i="12"/>
  <c r="L150" i="12"/>
  <c r="K150" i="12"/>
  <c r="L149" i="12"/>
  <c r="K149" i="12"/>
  <c r="L148" i="12"/>
  <c r="K148" i="12"/>
  <c r="L147" i="12"/>
  <c r="K147" i="12"/>
  <c r="L146" i="12"/>
  <c r="K146" i="12"/>
  <c r="L145" i="12"/>
  <c r="K145" i="12"/>
  <c r="L144" i="12"/>
  <c r="K144" i="12"/>
  <c r="L143" i="12"/>
  <c r="K143" i="12"/>
  <c r="L142" i="12"/>
  <c r="K142" i="12"/>
  <c r="L141" i="12"/>
  <c r="K141" i="12"/>
  <c r="L140" i="12"/>
  <c r="K140" i="12"/>
  <c r="L139" i="12"/>
  <c r="K139" i="12"/>
  <c r="H130" i="12"/>
  <c r="G130" i="12"/>
  <c r="F130" i="12"/>
  <c r="E130" i="12"/>
  <c r="D130" i="12"/>
  <c r="C130" i="12"/>
  <c r="L129" i="12"/>
  <c r="K129" i="12"/>
  <c r="L128" i="12"/>
  <c r="K128" i="12"/>
  <c r="L127" i="12"/>
  <c r="K127" i="12"/>
  <c r="L126" i="12"/>
  <c r="K126" i="12"/>
  <c r="L125" i="12"/>
  <c r="K125" i="12"/>
  <c r="L124" i="12"/>
  <c r="K124" i="12"/>
  <c r="L123" i="12"/>
  <c r="K123" i="12"/>
  <c r="L122" i="12"/>
  <c r="K122" i="12"/>
  <c r="L121" i="12"/>
  <c r="K121" i="12"/>
  <c r="L120" i="12"/>
  <c r="K120" i="12"/>
  <c r="L119" i="12"/>
  <c r="K119" i="12"/>
  <c r="L118" i="12"/>
  <c r="K118" i="12"/>
  <c r="H108" i="12"/>
  <c r="G108" i="12"/>
  <c r="F108" i="12"/>
  <c r="E108" i="12"/>
  <c r="D108" i="12"/>
  <c r="C108" i="12"/>
  <c r="L107" i="12"/>
  <c r="K107" i="12"/>
  <c r="L106" i="12"/>
  <c r="K106" i="12"/>
  <c r="L105" i="12"/>
  <c r="K105" i="12"/>
  <c r="L104" i="12"/>
  <c r="K104" i="12"/>
  <c r="L103" i="12"/>
  <c r="K103" i="12"/>
  <c r="L102" i="12"/>
  <c r="K102" i="12"/>
  <c r="L101" i="12"/>
  <c r="K101" i="12"/>
  <c r="L100" i="12"/>
  <c r="K100" i="12"/>
  <c r="L99" i="12"/>
  <c r="K99" i="12"/>
  <c r="L98" i="12"/>
  <c r="K98" i="12"/>
  <c r="L97" i="12"/>
  <c r="K97" i="12"/>
  <c r="L96" i="12"/>
  <c r="K96" i="12"/>
  <c r="J86" i="12"/>
  <c r="I86" i="12"/>
  <c r="H86" i="12"/>
  <c r="G86" i="12"/>
  <c r="F86" i="12"/>
  <c r="E86" i="12"/>
  <c r="D86" i="12"/>
  <c r="C86" i="12"/>
  <c r="L85" i="12"/>
  <c r="K85" i="12"/>
  <c r="L84" i="12"/>
  <c r="K84" i="12"/>
  <c r="L83" i="12"/>
  <c r="K83" i="12"/>
  <c r="L82" i="12"/>
  <c r="K82" i="12"/>
  <c r="L81" i="12"/>
  <c r="K81" i="12"/>
  <c r="L80" i="12"/>
  <c r="K80" i="12"/>
  <c r="L79" i="12"/>
  <c r="K79" i="12"/>
  <c r="L78" i="12"/>
  <c r="K78" i="12"/>
  <c r="L77" i="12"/>
  <c r="K77" i="12"/>
  <c r="L76" i="12"/>
  <c r="K76" i="12"/>
  <c r="L75" i="12"/>
  <c r="K75" i="12"/>
  <c r="L74" i="12"/>
  <c r="K74" i="12"/>
  <c r="H64" i="12"/>
  <c r="G64" i="12"/>
  <c r="F64" i="12"/>
  <c r="E64" i="12"/>
  <c r="D64" i="12"/>
  <c r="C64" i="12"/>
  <c r="L63" i="12"/>
  <c r="K63" i="12"/>
  <c r="L62" i="12"/>
  <c r="K62" i="12"/>
  <c r="L61" i="12"/>
  <c r="K61" i="12"/>
  <c r="L60" i="12"/>
  <c r="K60" i="12"/>
  <c r="L59" i="12"/>
  <c r="K59" i="12"/>
  <c r="L58" i="12"/>
  <c r="K58" i="12"/>
  <c r="L57" i="12"/>
  <c r="K57" i="12"/>
  <c r="L56" i="12"/>
  <c r="K56" i="12"/>
  <c r="L55" i="12"/>
  <c r="K55" i="12"/>
  <c r="L54" i="12"/>
  <c r="K54" i="12"/>
  <c r="L53" i="12"/>
  <c r="K53" i="12"/>
  <c r="L52" i="12"/>
  <c r="K52" i="12"/>
  <c r="J41" i="12"/>
  <c r="I41" i="12"/>
  <c r="H41" i="12"/>
  <c r="G41" i="12"/>
  <c r="F41" i="12"/>
  <c r="E41" i="12"/>
  <c r="D41" i="12"/>
  <c r="C41" i="12"/>
  <c r="L40" i="12"/>
  <c r="K40" i="12"/>
  <c r="L39" i="12"/>
  <c r="K39" i="12"/>
  <c r="L38" i="12"/>
  <c r="K38" i="12"/>
  <c r="L37" i="12"/>
  <c r="K37" i="12"/>
  <c r="L36" i="12"/>
  <c r="K36" i="12"/>
  <c r="L35" i="12"/>
  <c r="K35" i="12"/>
  <c r="L34" i="12"/>
  <c r="K34" i="12"/>
  <c r="L33" i="12"/>
  <c r="K33" i="12"/>
  <c r="L32" i="12"/>
  <c r="K32" i="12"/>
  <c r="L31" i="12"/>
  <c r="K31" i="12"/>
  <c r="L30" i="12"/>
  <c r="K30" i="12"/>
  <c r="L29" i="12"/>
  <c r="K29" i="12"/>
  <c r="J19" i="12"/>
  <c r="I19" i="12"/>
  <c r="H19" i="12"/>
  <c r="G19" i="12"/>
  <c r="F19" i="12"/>
  <c r="E19" i="12"/>
  <c r="D19" i="12"/>
  <c r="C19" i="12"/>
  <c r="L18" i="12"/>
  <c r="K18" i="12"/>
  <c r="L17" i="12"/>
  <c r="K17" i="12"/>
  <c r="L16" i="12"/>
  <c r="K16" i="12"/>
  <c r="L15" i="12"/>
  <c r="K15" i="12"/>
  <c r="L14" i="12"/>
  <c r="K14" i="12"/>
  <c r="L13" i="12"/>
  <c r="K13" i="12"/>
  <c r="L12" i="12"/>
  <c r="K12" i="12"/>
  <c r="L11" i="12"/>
  <c r="K11" i="12"/>
  <c r="L10" i="12"/>
  <c r="K10" i="12"/>
  <c r="L9" i="12"/>
  <c r="K9" i="12"/>
  <c r="L8" i="12"/>
  <c r="K8" i="12"/>
  <c r="L7" i="12"/>
  <c r="K7" i="12"/>
  <c r="K86" i="12" l="1"/>
  <c r="K64" i="12"/>
  <c r="L86" i="12"/>
  <c r="K19" i="12"/>
  <c r="L151" i="12"/>
  <c r="K151" i="12"/>
  <c r="K130" i="12"/>
  <c r="L130" i="12"/>
  <c r="K108" i="12"/>
  <c r="L108" i="12"/>
  <c r="L64" i="12"/>
  <c r="K41" i="12"/>
  <c r="L41" i="12"/>
  <c r="L19" i="12"/>
  <c r="BO31" i="1" l="1"/>
  <c r="BO30" i="1"/>
  <c r="BO29" i="1"/>
  <c r="BO28" i="1"/>
  <c r="BO27" i="1"/>
  <c r="BO26" i="1"/>
  <c r="BO25" i="1"/>
  <c r="BO24" i="1"/>
  <c r="BO23" i="1"/>
  <c r="BO22" i="1"/>
  <c r="BO21" i="1"/>
  <c r="BO20" i="1"/>
  <c r="BC17" i="1" l="1"/>
  <c r="BI8" i="1"/>
  <c r="BO8" i="1" s="1"/>
  <c r="BP8" i="1" s="1"/>
  <c r="BI9" i="1"/>
  <c r="BO9" i="1" s="1"/>
  <c r="BP9" i="1" s="1"/>
  <c r="BI10" i="1"/>
  <c r="BO10" i="1" s="1"/>
  <c r="BP10" i="1" s="1"/>
  <c r="BI11" i="1"/>
  <c r="BO11" i="1" s="1"/>
  <c r="BP11" i="1" s="1"/>
  <c r="BI12" i="1"/>
  <c r="BO12" i="1" s="1"/>
  <c r="BP12" i="1" s="1"/>
  <c r="BI13" i="1"/>
  <c r="BO13" i="1" s="1"/>
  <c r="BP13" i="1" s="1"/>
  <c r="BI14" i="1"/>
  <c r="BO14" i="1" s="1"/>
  <c r="BP14" i="1" s="1"/>
  <c r="BI16" i="1"/>
  <c r="BO16" i="1" s="1"/>
  <c r="BP16" i="1" s="1"/>
  <c r="BI17" i="1"/>
  <c r="BO17" i="1" s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6" i="1"/>
  <c r="BO6" i="1" s="1"/>
  <c r="BB8" i="1"/>
  <c r="BB9" i="1"/>
  <c r="BB10" i="1"/>
  <c r="BB11" i="1"/>
  <c r="BC11" i="1" s="1"/>
  <c r="BD11" i="1" s="1"/>
  <c r="BB12" i="1"/>
  <c r="BB13" i="1"/>
  <c r="BB14" i="1"/>
  <c r="BB16" i="1"/>
  <c r="BB6" i="1"/>
  <c r="AT11" i="1"/>
  <c r="AZ11" i="1" s="1"/>
  <c r="AT16" i="1"/>
  <c r="AZ16" i="1" s="1"/>
  <c r="BC16" i="1" l="1"/>
  <c r="AS8" i="1"/>
  <c r="AS9" i="1"/>
  <c r="AS10" i="1"/>
  <c r="AS11" i="1"/>
  <c r="AS12" i="1"/>
  <c r="AS13" i="1"/>
  <c r="AS14" i="1"/>
  <c r="AS16" i="1"/>
  <c r="AR8" i="1"/>
  <c r="AR9" i="1"/>
  <c r="AR10" i="1"/>
  <c r="AR11" i="1"/>
  <c r="AR12" i="1"/>
  <c r="AR13" i="1"/>
  <c r="AR14" i="1"/>
  <c r="AR16" i="1"/>
  <c r="AQ8" i="1"/>
  <c r="AQ9" i="1"/>
  <c r="AQ10" i="1"/>
  <c r="AQ11" i="1"/>
  <c r="AQ12" i="1"/>
  <c r="AQ13" i="1"/>
  <c r="AQ14" i="1"/>
  <c r="AQ16" i="1"/>
  <c r="AP8" i="1"/>
  <c r="AP9" i="1"/>
  <c r="AP10" i="1"/>
  <c r="AP11" i="1"/>
  <c r="AP12" i="1"/>
  <c r="AP13" i="1"/>
  <c r="AP14" i="1"/>
  <c r="AP16" i="1"/>
  <c r="AO8" i="1"/>
  <c r="AO9" i="1"/>
  <c r="AO10" i="1"/>
  <c r="AO11" i="1"/>
  <c r="AO12" i="1"/>
  <c r="AO13" i="1"/>
  <c r="AO14" i="1"/>
  <c r="AO16" i="1"/>
  <c r="AS6" i="1"/>
  <c r="AR6" i="1"/>
  <c r="AQ6" i="1"/>
  <c r="AP6" i="1"/>
  <c r="AO6" i="1"/>
  <c r="AN8" i="1"/>
  <c r="AN9" i="1"/>
  <c r="AN10" i="1"/>
  <c r="AN11" i="1"/>
  <c r="AN12" i="1"/>
  <c r="AN13" i="1"/>
  <c r="AN14" i="1"/>
  <c r="AN16" i="1"/>
  <c r="AN6" i="1"/>
  <c r="AM8" i="1"/>
  <c r="AM9" i="1"/>
  <c r="AM10" i="1"/>
  <c r="AM11" i="1"/>
  <c r="AM12" i="1"/>
  <c r="AM13" i="1"/>
  <c r="AM14" i="1"/>
  <c r="AM16" i="1"/>
  <c r="AM6" i="1"/>
  <c r="Q8" i="1"/>
  <c r="Q9" i="1"/>
  <c r="Q10" i="1"/>
  <c r="Q11" i="1"/>
  <c r="W11" i="1" s="1"/>
  <c r="Q12" i="1"/>
  <c r="Q13" i="1"/>
  <c r="Q14" i="1"/>
  <c r="Q6" i="1"/>
  <c r="AT6" i="1" s="1"/>
  <c r="T6" i="1"/>
  <c r="AT14" i="1" l="1"/>
  <c r="AZ14" i="1" s="1"/>
  <c r="BC14" i="1" s="1"/>
  <c r="AT13" i="1"/>
  <c r="AZ13" i="1" s="1"/>
  <c r="BC13" i="1" s="1"/>
  <c r="AT12" i="1"/>
  <c r="AZ12" i="1" s="1"/>
  <c r="BC12" i="1" s="1"/>
  <c r="AT10" i="1"/>
  <c r="AZ10" i="1" s="1"/>
  <c r="BC10" i="1" s="1"/>
  <c r="AT9" i="1"/>
  <c r="AZ9" i="1" s="1"/>
  <c r="BC9" i="1" s="1"/>
  <c r="AT8" i="1"/>
  <c r="AZ8" i="1" s="1"/>
  <c r="BC8" i="1" s="1"/>
  <c r="AZ6" i="1"/>
  <c r="BC6" i="1" s="1"/>
  <c r="BP6" i="1" s="1"/>
  <c r="AU8" i="1"/>
  <c r="AU10" i="1"/>
  <c r="AU6" i="1"/>
  <c r="W6" i="1"/>
  <c r="M61" i="6"/>
  <c r="S60" i="6"/>
  <c r="M43" i="6"/>
  <c r="S42" i="6"/>
  <c r="M25" i="6"/>
  <c r="S24" i="6"/>
  <c r="M7" i="6"/>
  <c r="S6" i="6"/>
  <c r="C61" i="6"/>
  <c r="I60" i="6"/>
  <c r="C43" i="6"/>
  <c r="I42" i="6"/>
  <c r="C25" i="6"/>
  <c r="I24" i="6"/>
  <c r="I6" i="6" l="1"/>
  <c r="T9" i="1" l="1"/>
  <c r="W9" i="1" s="1"/>
  <c r="H9" i="1"/>
  <c r="AU9" i="1" l="1"/>
  <c r="AY9" i="1"/>
  <c r="AV9" i="1" l="1"/>
  <c r="BA9" i="1" l="1"/>
  <c r="BD9" i="1" s="1"/>
  <c r="H16" i="1" l="1"/>
  <c r="BA14" i="1"/>
  <c r="T14" i="1"/>
  <c r="W14" i="1" s="1"/>
  <c r="H14" i="1"/>
  <c r="T13" i="1"/>
  <c r="W13" i="1" s="1"/>
  <c r="H13" i="1"/>
  <c r="AU16" i="1" l="1"/>
  <c r="BA16" i="1" s="1"/>
  <c r="AU14" i="1"/>
  <c r="AU13" i="1"/>
  <c r="T12" i="1"/>
  <c r="W12" i="1" s="1"/>
  <c r="H12" i="1"/>
  <c r="AV14" i="1" l="1"/>
  <c r="AY14" i="1"/>
  <c r="BD14" i="1" s="1"/>
  <c r="AV16" i="1"/>
  <c r="AV13" i="1"/>
  <c r="BA13" i="1"/>
  <c r="AY13" i="1"/>
  <c r="AU12" i="1"/>
  <c r="H11" i="1"/>
  <c r="BD13" i="1" l="1"/>
  <c r="AY16" i="1"/>
  <c r="BD16" i="1" s="1"/>
  <c r="AV12" i="1"/>
  <c r="BA12" i="1"/>
  <c r="AY12" i="1"/>
  <c r="BD12" i="1" s="1"/>
  <c r="H10" i="1"/>
  <c r="H8" i="1"/>
  <c r="H6" i="1"/>
  <c r="C7" i="6" s="1"/>
  <c r="T11" i="1" l="1"/>
  <c r="T10" i="1"/>
  <c r="W10" i="1" s="1"/>
  <c r="AU11" i="1" l="1"/>
  <c r="T8" i="1"/>
  <c r="W8" i="1" s="1"/>
  <c r="AY11" i="1" l="1"/>
  <c r="BA11" i="1"/>
  <c r="AV10" i="1"/>
  <c r="BA10" i="1"/>
  <c r="AV11" i="1"/>
  <c r="AY10" i="1" l="1"/>
  <c r="BD10" i="1" s="1"/>
  <c r="AV8" i="1" l="1"/>
  <c r="BA8" i="1" l="1"/>
  <c r="AY8" i="1"/>
  <c r="BD8" i="1" l="1"/>
  <c r="AY6" i="1"/>
  <c r="BA6" i="1"/>
  <c r="AV6" i="1"/>
  <c r="BD6" i="1" l="1"/>
  <c r="B4" i="9"/>
  <c r="BC31" i="1" l="1"/>
  <c r="BC30" i="1"/>
  <c r="BC29" i="1"/>
  <c r="BC28" i="1"/>
  <c r="BC27" i="1"/>
  <c r="BC26" i="1"/>
  <c r="BC25" i="1"/>
  <c r="BC24" i="1"/>
  <c r="BC23" i="1"/>
  <c r="BC22" i="1"/>
  <c r="BC21" i="1"/>
  <c r="BC20" i="1"/>
  <c r="M201" i="7" l="1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E15" i="9" l="1"/>
  <c r="C17" i="9"/>
  <c r="E14" i="9"/>
  <c r="F16" i="9"/>
  <c r="B17" i="9"/>
  <c r="F17" i="9"/>
  <c r="E16" i="9"/>
  <c r="C13" i="9"/>
  <c r="C15" i="9"/>
  <c r="F13" i="9"/>
  <c r="B16" i="9"/>
  <c r="E17" i="9"/>
  <c r="E13" i="9"/>
  <c r="B13" i="9"/>
  <c r="D14" i="9"/>
  <c r="B15" i="9"/>
  <c r="B14" i="9"/>
  <c r="D15" i="9"/>
  <c r="D13" i="9"/>
  <c r="F14" i="9"/>
  <c r="F15" i="9"/>
  <c r="C14" i="9"/>
  <c r="D16" i="9"/>
  <c r="D17" i="9"/>
  <c r="C16" i="9"/>
  <c r="G14" i="9" l="1"/>
  <c r="G17" i="9"/>
  <c r="G15" i="9"/>
  <c r="G13" i="9"/>
  <c r="G16" i="9"/>
  <c r="C7" i="9"/>
  <c r="E8" i="9"/>
  <c r="F8" i="9"/>
  <c r="B5" i="9"/>
  <c r="B8" i="9"/>
  <c r="C4" i="9"/>
  <c r="D5" i="9"/>
  <c r="B7" i="9"/>
  <c r="D7" i="9"/>
  <c r="E7" i="9"/>
  <c r="F4" i="9"/>
  <c r="F7" i="9"/>
  <c r="E6" i="9"/>
  <c r="D4" i="9"/>
  <c r="E5" i="9"/>
  <c r="F6" i="9"/>
  <c r="C6" i="9"/>
  <c r="F5" i="9"/>
  <c r="D6" i="9"/>
  <c r="D8" i="9"/>
  <c r="E4" i="9"/>
  <c r="B6" i="9"/>
  <c r="C5" i="9"/>
  <c r="C8" i="9"/>
  <c r="G18" i="9" l="1"/>
  <c r="G6" i="9"/>
  <c r="G4" i="9"/>
  <c r="G8" i="9"/>
  <c r="G7" i="9"/>
  <c r="G5" i="9"/>
  <c r="G9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Elkee Altamirano Constantino</author>
  </authors>
  <commentList>
    <comment ref="R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" authorId="0" shapeId="0" xr:uid="{00000000-0006-0000-0100-000002000000}">
      <text>
        <r>
          <rPr>
            <sz val="9"/>
            <color indexed="81"/>
            <rFont val="Tahoma"/>
            <family val="2"/>
          </rPr>
          <t>Análisis del Cálculo (Resumen detallado en Sustentos)</t>
        </r>
      </text>
    </comment>
    <comment ref="U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S/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Análisis del Cálculo (Resumen detallado en Sustentos)
</t>
        </r>
      </text>
    </comment>
    <comment ref="AW5" authorId="0" shapeId="0" xr:uid="{00000000-0006-0000-0100-000005000000}">
      <text>
        <r>
          <rPr>
            <sz val="9"/>
            <color indexed="81"/>
            <rFont val="Tahoma"/>
            <family val="2"/>
          </rPr>
          <t>Según metodología, debe evaluarse de manera manual :
C1+C2+… CN / N</t>
        </r>
      </text>
    </comment>
    <comment ref="AX5" authorId="0" shapeId="0" xr:uid="{00000000-0006-0000-0100-000006000000}">
      <text>
        <r>
          <rPr>
            <sz val="9"/>
            <color indexed="81"/>
            <rFont val="Tahoma"/>
            <family val="2"/>
          </rPr>
          <t>Según metodología, debe evaluarse de manera manual :
C1+C2+… CN / N</t>
        </r>
      </text>
    </comment>
    <comment ref="BF5" authorId="0" shapeId="0" xr:uid="{00000000-0006-0000-0100-000007000000}">
      <text>
        <r>
          <rPr>
            <sz val="9"/>
            <color indexed="81"/>
            <rFont val="Tahoma"/>
            <family val="2"/>
          </rPr>
          <t>Este Identificador, podrá cambiar al registrarse en Base de Planes</t>
        </r>
      </text>
    </comment>
  </commentList>
</comments>
</file>

<file path=xl/sharedStrings.xml><?xml version="1.0" encoding="utf-8"?>
<sst xmlns="http://schemas.openxmlformats.org/spreadsheetml/2006/main" count="1340" uniqueCount="560">
  <si>
    <t>IdRiesgo</t>
  </si>
  <si>
    <t>Macro Proceso</t>
  </si>
  <si>
    <t>Proceso</t>
  </si>
  <si>
    <t>Subproceso</t>
  </si>
  <si>
    <t>Detalle Riesgo</t>
  </si>
  <si>
    <t>Criterio Impacto</t>
  </si>
  <si>
    <t>Sustento Impacto</t>
  </si>
  <si>
    <t>Gestión de Operaciones</t>
  </si>
  <si>
    <t>Gestión Operativa de Agencias</t>
  </si>
  <si>
    <t>Conciliación Operativa de Agencias</t>
  </si>
  <si>
    <t>Fraude interno</t>
  </si>
  <si>
    <t>Robo y fraude</t>
  </si>
  <si>
    <t>Muy Baja</t>
  </si>
  <si>
    <t>Insignificante</t>
  </si>
  <si>
    <t>Cuadre de Bóveda</t>
  </si>
  <si>
    <t>Menor</t>
  </si>
  <si>
    <t>Gestión Operativa de Créditos</t>
  </si>
  <si>
    <t>Emisión y Envío de EECC TC</t>
  </si>
  <si>
    <t>Ejecución, entrega y gestión de procesos</t>
  </si>
  <si>
    <t>Recepción, ejecución y mantenimiento de operaciones</t>
  </si>
  <si>
    <t>Baja</t>
  </si>
  <si>
    <t>Gestión de Depósitos</t>
  </si>
  <si>
    <t>Generación y Envío de EECC Cuentas Pasivas</t>
  </si>
  <si>
    <t>Generación y Envío de Avisos de Vencimiento</t>
  </si>
  <si>
    <t>Gestión de Dinero y Valorados</t>
  </si>
  <si>
    <t>Custodia de valorados</t>
  </si>
  <si>
    <t>Fraude externo</t>
  </si>
  <si>
    <t>Gestión del Programa de Recompensas - TC</t>
  </si>
  <si>
    <t>Clientes, productos y prácticas empresariales</t>
  </si>
  <si>
    <t>Prácticas empresariales o de mercado improcedentes</t>
  </si>
  <si>
    <t>Gestión Operativa de ATMs</t>
  </si>
  <si>
    <t>Monitoreo y gestión de fallas en ATM</t>
  </si>
  <si>
    <t>DISEÑO</t>
  </si>
  <si>
    <t>EJECUCION</t>
  </si>
  <si>
    <t>Periodicidad</t>
  </si>
  <si>
    <t>Operatividad</t>
  </si>
  <si>
    <t>TipoControl</t>
  </si>
  <si>
    <t>Segregacion</t>
  </si>
  <si>
    <t>Supervision</t>
  </si>
  <si>
    <t>Oportuno</t>
  </si>
  <si>
    <t>Adecuado</t>
  </si>
  <si>
    <t>IdControl</t>
  </si>
  <si>
    <t>Manual</t>
  </si>
  <si>
    <t>Detectivo</t>
  </si>
  <si>
    <t>Misma área</t>
  </si>
  <si>
    <t>Impacto</t>
  </si>
  <si>
    <t>Preventivo</t>
  </si>
  <si>
    <t>Otra área o automático</t>
  </si>
  <si>
    <t>Identificación y Medición de Riesgos, Controles y Tratamiento</t>
  </si>
  <si>
    <t>RIESGO INHERENTE</t>
  </si>
  <si>
    <t>IDENTIFICACIÓN DE CONTROLES</t>
  </si>
  <si>
    <t>Riesgo:</t>
  </si>
  <si>
    <t>- Supuesto 1:</t>
  </si>
  <si>
    <t>- Supuesto 2:</t>
  </si>
  <si>
    <t>- Supuesto 3:</t>
  </si>
  <si>
    <t>- Supuesto 4:</t>
  </si>
  <si>
    <t>Muy Bajo</t>
  </si>
  <si>
    <t>Nivel de Riesgo</t>
  </si>
  <si>
    <t>RIESGO RESIDUAL</t>
  </si>
  <si>
    <t>TRATAMIENTO</t>
  </si>
  <si>
    <t>Plan de Acción</t>
  </si>
  <si>
    <t>Área Responsable del Plan de Acción</t>
  </si>
  <si>
    <t>Fecha inicio de implementación</t>
  </si>
  <si>
    <t>Fecha fin de implementación</t>
  </si>
  <si>
    <t>IdPlan</t>
  </si>
  <si>
    <t>ID</t>
  </si>
  <si>
    <t>Tipo</t>
  </si>
  <si>
    <t>Sub Proceso</t>
  </si>
  <si>
    <t>Planeamiento y Desarrollo</t>
  </si>
  <si>
    <t>Gestión de Planeamiento Estratégico</t>
  </si>
  <si>
    <t>Elaboración y aprobación del Planeamiento Estratégico</t>
  </si>
  <si>
    <t>E</t>
  </si>
  <si>
    <t>Gestión de Marketing</t>
  </si>
  <si>
    <t>Desarrollo de Canales, Productos y Servicios</t>
  </si>
  <si>
    <t>Desarrollo de Campañas</t>
  </si>
  <si>
    <t>Desarrollo de Alianzas Comerciales</t>
  </si>
  <si>
    <t>Desarrollo de la Estrategia Comercial</t>
  </si>
  <si>
    <t>Gestión de Marca</t>
  </si>
  <si>
    <t>Control Presupuestal</t>
  </si>
  <si>
    <t>Desarrollo y Administración del Presupuesto</t>
  </si>
  <si>
    <t>Elaboración, aprobación y control del presupuesto</t>
  </si>
  <si>
    <t>Clientes</t>
  </si>
  <si>
    <t>Vinculación</t>
  </si>
  <si>
    <t>Vinculación PJ</t>
  </si>
  <si>
    <t>C</t>
  </si>
  <si>
    <t>Vinculación PN</t>
  </si>
  <si>
    <t>Mantenimiento de Datos de Clientes</t>
  </si>
  <si>
    <t>Gestión de Calidad y Servicio al Cliente</t>
  </si>
  <si>
    <t>Gestión de Atención de Solicitudes, Requerimientos y Reclamos</t>
  </si>
  <si>
    <t>Gestión de Atención al Usuario y Transparencia</t>
  </si>
  <si>
    <t>Administración del Call Center (inbound y outbound)</t>
  </si>
  <si>
    <t>Gestión de Retención de Clientes</t>
  </si>
  <si>
    <t>Gestión del Portafolio de Clientes</t>
  </si>
  <si>
    <t>Fondeo</t>
  </si>
  <si>
    <t>Captación de Productos</t>
  </si>
  <si>
    <t>Propección, venta y afiliación a C Ahorros</t>
  </si>
  <si>
    <t>Propección, venta y afiliación a C Corriente</t>
  </si>
  <si>
    <t>Propección, venta y afiliación a CTS</t>
  </si>
  <si>
    <t>Propección, venta y afiliación a DPF</t>
  </si>
  <si>
    <t>Transaccionalidad</t>
  </si>
  <si>
    <t>Depósitos</t>
  </si>
  <si>
    <t>Retiros</t>
  </si>
  <si>
    <t>Cierre de Cuentas</t>
  </si>
  <si>
    <t>Activación de Cuentas/FSD</t>
  </si>
  <si>
    <t xml:space="preserve">Fondeo de Recursos </t>
  </si>
  <si>
    <t>Gestión de Bonos Corporativos</t>
  </si>
  <si>
    <t>Gestión Líneas de Fondeo</t>
  </si>
  <si>
    <t>Inversiones y Mesa de Dinero</t>
  </si>
  <si>
    <t>Inversiones Financieras</t>
  </si>
  <si>
    <t>Gestión de Adeudados</t>
  </si>
  <si>
    <t>Gestión de Forwards</t>
  </si>
  <si>
    <t>Préstamos Interbancarios</t>
  </si>
  <si>
    <t>Mesa de Dinero</t>
  </si>
  <si>
    <t>Gestión de Compra y Venta de ME</t>
  </si>
  <si>
    <t>Operaciones de Mesa de Dinero</t>
  </si>
  <si>
    <t>Colocaciones</t>
  </si>
  <si>
    <t>Otorgamiento de Créditos</t>
  </si>
  <si>
    <t>Otorgamiento de préstamos para personas</t>
  </si>
  <si>
    <t>Otorgamiento de Préstamos Hipotecarios</t>
  </si>
  <si>
    <t>Otorgamiento de Préstamos Vehicular</t>
  </si>
  <si>
    <t>Otorgamiento de préstamos CNV</t>
  </si>
  <si>
    <t>Otorgamiento de Tarjetas de Crédito</t>
  </si>
  <si>
    <t>Asignación/Reducción de Linea TC</t>
  </si>
  <si>
    <t>Otorgamiento de préstamos para empresas</t>
  </si>
  <si>
    <t>Otorgamiento de préstamos Leasing</t>
  </si>
  <si>
    <t>Letras</t>
  </si>
  <si>
    <t>Otorgamiento de Cartas Fianza.</t>
  </si>
  <si>
    <t>Financiamiento Comercio Exterior</t>
  </si>
  <si>
    <t>Otorgamiento de Cartas Stand by</t>
  </si>
  <si>
    <t>Financiamiento Inmobiliario</t>
  </si>
  <si>
    <t>Otorgamiento de préstamos para la Banca Negocios</t>
  </si>
  <si>
    <t>Otorgamiento de Sobregiro</t>
  </si>
  <si>
    <t>Renovación de Créditos</t>
  </si>
  <si>
    <t>Pagos de Créditos</t>
  </si>
  <si>
    <t>Pago de Letras</t>
  </si>
  <si>
    <t>Pagos de Financiamiento Comercio Exterior</t>
  </si>
  <si>
    <t>Pre-pago de Créditos</t>
  </si>
  <si>
    <t>Amortización de Letras</t>
  </si>
  <si>
    <t>Cancelación Anticipada de Créditos</t>
  </si>
  <si>
    <t>Cancelación de Financiamientos de Comercio Exterior</t>
  </si>
  <si>
    <t>Cancelación de Letras</t>
  </si>
  <si>
    <t>Devolución de Letras</t>
  </si>
  <si>
    <t>Ejecución de Cartas Fianzas</t>
  </si>
  <si>
    <t>Ejecución de Cartas Stand by</t>
  </si>
  <si>
    <t>Liquidación de Carta Fianzas</t>
  </si>
  <si>
    <t>Prórroga de Créditos</t>
  </si>
  <si>
    <t>Requerir Cartas Fianzas</t>
  </si>
  <si>
    <t>Disposición de Efectivo</t>
  </si>
  <si>
    <t>Traslado de Saldos (TC)</t>
  </si>
  <si>
    <t>Gestión de Garantías</t>
  </si>
  <si>
    <t>Evaluación de Garantías</t>
  </si>
  <si>
    <t>Constitución de Garantías</t>
  </si>
  <si>
    <t>Ejecución de Garantías</t>
  </si>
  <si>
    <t>Liberación de Garantías</t>
  </si>
  <si>
    <t>Renovación de Garantías</t>
  </si>
  <si>
    <t xml:space="preserve">Compra de Cartera </t>
  </si>
  <si>
    <t>Asignación</t>
  </si>
  <si>
    <t>Negociación</t>
  </si>
  <si>
    <t>Banca corresponsal</t>
  </si>
  <si>
    <t>Gestión de Banca Corresponsal</t>
  </si>
  <si>
    <t>Servicios Bancarios</t>
  </si>
  <si>
    <t>Gestión de Servicios asociados a la Banca x internet</t>
  </si>
  <si>
    <t>Afiliación a Banca x Internet - Banca Personal</t>
  </si>
  <si>
    <t>Afiliacion a Banca x Internet - Banca Empresarial</t>
  </si>
  <si>
    <t>Gestión de Usuarios y Claves Dinámicas (tokens)</t>
  </si>
  <si>
    <t>Transaccionalidad a través de Internet Banca Personal</t>
  </si>
  <si>
    <t>Transaccionalidad a través de Internet Banca Empresarial</t>
  </si>
  <si>
    <t>Gestión de Transferencias</t>
  </si>
  <si>
    <t>Transferencias CCE</t>
  </si>
  <si>
    <t>Transferencias LBTR</t>
  </si>
  <si>
    <t>Transferencias Internacionales (SWIFT)</t>
  </si>
  <si>
    <t>Giros (western)</t>
  </si>
  <si>
    <t>Gestión de Seguros</t>
  </si>
  <si>
    <t>Gestión de Seguros Vinculados</t>
  </si>
  <si>
    <t>Gestión de Seguros Optativos</t>
  </si>
  <si>
    <t>Recaudación</t>
  </si>
  <si>
    <t>Gestión de Recaudación</t>
  </si>
  <si>
    <t>Gestión de Riesgos</t>
  </si>
  <si>
    <t xml:space="preserve">Gestión de Riesgo Crediticio y Cambiario </t>
  </si>
  <si>
    <t>Riesgo Cambiario Crediticio</t>
  </si>
  <si>
    <t>S</t>
  </si>
  <si>
    <t>Gestión y seguimiento de Riesgo Crediticio</t>
  </si>
  <si>
    <t>Gestión de Autonomías Crediticias</t>
  </si>
  <si>
    <t>Bloqueos y Restricciones</t>
  </si>
  <si>
    <t>Vinculación por Riesgo Unico y Grupos Económicos</t>
  </si>
  <si>
    <t>Gestión del Riesgo de Liquidez</t>
  </si>
  <si>
    <t>Gestión de Riesgo de Liquidez</t>
  </si>
  <si>
    <t>Gestión del Riesgo de Mercado</t>
  </si>
  <si>
    <t>Gestión de Riesgo de Mercado</t>
  </si>
  <si>
    <t xml:space="preserve">Clasificación de Cartera y Gestión de Provisiones </t>
  </si>
  <si>
    <t>Ingreso en la Central de Riesgo</t>
  </si>
  <si>
    <t>Evaluación Clasificación del Deudor y Exigencia de Provisiones</t>
  </si>
  <si>
    <t>Gestión de la Continuidad del Negocio</t>
  </si>
  <si>
    <t>Establecimiento de planes de continuidad del negocio.</t>
  </si>
  <si>
    <t>Activación de PCN y planes de contingencia.</t>
  </si>
  <si>
    <t>Gestión de Riesgo Operacional</t>
  </si>
  <si>
    <t>Administración y control de la Gestión de Riesgo Operacional.</t>
  </si>
  <si>
    <t>Monitoreo de riesgos y controles</t>
  </si>
  <si>
    <t>Evaluación y análisis de proveedores</t>
  </si>
  <si>
    <t>Gestión de Seguridad de la Información</t>
  </si>
  <si>
    <t>Gestión de Perfiles y Accesos</t>
  </si>
  <si>
    <t>Gestión de Riesgos de Información</t>
  </si>
  <si>
    <t>Gestión del Riesgo Ambiental</t>
  </si>
  <si>
    <t>Gestión Legal</t>
  </si>
  <si>
    <t>Gestión Secretaría General</t>
  </si>
  <si>
    <t>Gestión de Libros de Actas del Directorio</t>
  </si>
  <si>
    <t>Gestión de Contratos</t>
  </si>
  <si>
    <t>Elaboración de Contratos de Clientes</t>
  </si>
  <si>
    <t>Elaboración de Contratos a proveedores</t>
  </si>
  <si>
    <t>Gestión de Poderes</t>
  </si>
  <si>
    <t>Evaluación de Poderes (Clientes y Banco)</t>
  </si>
  <si>
    <t>Facultades y firmas autorizadas (Banco)</t>
  </si>
  <si>
    <t>Gestión de Procesos Legales</t>
  </si>
  <si>
    <t>Gestión de atención de resoluciones</t>
  </si>
  <si>
    <t>Gestión de Procesos Contencioso Administrativo</t>
  </si>
  <si>
    <t>Gestión de Procesos Judiciales</t>
  </si>
  <si>
    <t>Gestión de Embargos</t>
  </si>
  <si>
    <t>Gestión de RRHH</t>
  </si>
  <si>
    <t>Reclutamiento y selección de personal</t>
  </si>
  <si>
    <t>Reclutamiento</t>
  </si>
  <si>
    <t>Selección de Personal</t>
  </si>
  <si>
    <t>Contratación de Colaboradores</t>
  </si>
  <si>
    <t>Movimientos de colaboradores</t>
  </si>
  <si>
    <t>Desarrollo del colaborador (incluye capacitaciones)</t>
  </si>
  <si>
    <t>Evaluación del desempeño</t>
  </si>
  <si>
    <t>Gestión de asistencia, licencias y vacaciones</t>
  </si>
  <si>
    <t>Gestión del Expediente del Colaborador (incluye la actualización de datos)</t>
  </si>
  <si>
    <t>Sanciones laborales</t>
  </si>
  <si>
    <t>Desvinculación del Colaborador</t>
  </si>
  <si>
    <t>Comunicación Interna</t>
  </si>
  <si>
    <t>Gestión de personal tercerizado</t>
  </si>
  <si>
    <t>Compensaciones del Colaborador</t>
  </si>
  <si>
    <t>Cálculo de Remuneración Variable</t>
  </si>
  <si>
    <t>Pago de planillas</t>
  </si>
  <si>
    <t>Liquidación</t>
  </si>
  <si>
    <t>Gestión de Procesos</t>
  </si>
  <si>
    <t>Gestión Normativa</t>
  </si>
  <si>
    <t>Elaboración, Actualización y Derogación de Documentos Normativos</t>
  </si>
  <si>
    <t>Proceso de atención de proyectos y requerimientos</t>
  </si>
  <si>
    <t>Gestión de atención de Proyectos</t>
  </si>
  <si>
    <t>Gestión de atención de Requerimientos</t>
  </si>
  <si>
    <t>Gestión de atención de Solicitudes</t>
  </si>
  <si>
    <t>Gestión de Administración</t>
  </si>
  <si>
    <t>Adquisiciones</t>
  </si>
  <si>
    <t>Gestión de proveedores (selección, contratación, evaluación, control y seguimiento)</t>
  </si>
  <si>
    <t>Compras (menores, servicios, tecnológicas y activos)</t>
  </si>
  <si>
    <t>Almacén</t>
  </si>
  <si>
    <t>Gestión de Infraestructura</t>
  </si>
  <si>
    <t>Alquileres</t>
  </si>
  <si>
    <t>Administración de oficinas y agencias (apertura, mantenimiento y cierre)</t>
  </si>
  <si>
    <t>Gestión de Servicios internos</t>
  </si>
  <si>
    <t xml:space="preserve">Administración de Seguridad física </t>
  </si>
  <si>
    <t>Expedición y Mensajeria</t>
  </si>
  <si>
    <t>Pagaduria (incluir caja chica, movilidades)</t>
  </si>
  <si>
    <t>Archivo físico interno de documentos no regulatorios (evidencias de operaciones diarias, documentos de trabajo, etc)</t>
  </si>
  <si>
    <t>Archivo y control de files</t>
  </si>
  <si>
    <t>Digitalización de files</t>
  </si>
  <si>
    <t>Administración patrimonial</t>
  </si>
  <si>
    <t>Arrendamiento</t>
  </si>
  <si>
    <t>Gestión de movimiento de activos fijo (donación de activo fijo, venta y/o eliminación de activos fijos)</t>
  </si>
  <si>
    <t>Preparación, apertura y cierre de Agencias</t>
  </si>
  <si>
    <t>Cierre Operativo de Agencias</t>
  </si>
  <si>
    <t>Traslado de Efectivo entre agencias</t>
  </si>
  <si>
    <t>Administración de Tarjetas</t>
  </si>
  <si>
    <t>Administración y Canje de Cheques</t>
  </si>
  <si>
    <t>Administración de Cheques</t>
  </si>
  <si>
    <t>Gestión de Canje de Entrada y Salida</t>
  </si>
  <si>
    <t>Compensacion de ATMs</t>
  </si>
  <si>
    <t>Mantenimiento de Tasas / Plazos</t>
  </si>
  <si>
    <t>Pagos y Trámites - Bienes en Leasing</t>
  </si>
  <si>
    <t>Gestión Opción Compra - Bienes en Leasing</t>
  </si>
  <si>
    <t>Extornos y Devoluciones - Créditos</t>
  </si>
  <si>
    <t>Pago de Comisiones Cred. Vehicular</t>
  </si>
  <si>
    <t>Extornos y Devoluciones - Cuentas Pasivas</t>
  </si>
  <si>
    <t>Gestión de Tecnología de Información</t>
  </si>
  <si>
    <t>Desarrollo de Software</t>
  </si>
  <si>
    <t>Atención de Desarrollos de TI</t>
  </si>
  <si>
    <t>Atención de Incidencias</t>
  </si>
  <si>
    <t>Pruebas</t>
  </si>
  <si>
    <t>Control de Cambios en Producción</t>
  </si>
  <si>
    <t>Gestión de Operaciones de TI</t>
  </si>
  <si>
    <t>Administración de activos informáticos</t>
  </si>
  <si>
    <t>Administración de impresoras</t>
  </si>
  <si>
    <t>Administración del file server</t>
  </si>
  <si>
    <t xml:space="preserve">Cambios en plataformas  </t>
  </si>
  <si>
    <t>Gestión de Telecomunicaciones</t>
  </si>
  <si>
    <t>Gestión Financiera y Contable</t>
  </si>
  <si>
    <t>Administración de Tasas y Tarifas</t>
  </si>
  <si>
    <t>Actualización de los formularios</t>
  </si>
  <si>
    <t>Asignación de Tarifas Especiales</t>
  </si>
  <si>
    <t>Comunicación al cliente y a los canales</t>
  </si>
  <si>
    <t>Gestión Contable</t>
  </si>
  <si>
    <t>Creación y certificación de cuentas</t>
  </si>
  <si>
    <t>Conciliación contable</t>
  </si>
  <si>
    <t>Elaboración de Reportes Regulatorios</t>
  </si>
  <si>
    <t>Gestión de Gastos e Ingresos</t>
  </si>
  <si>
    <t>Gestión de Autonomías Compra</t>
  </si>
  <si>
    <t>Gestión Tributaria</t>
  </si>
  <si>
    <t>Gestión de obligaciones tributarias</t>
  </si>
  <si>
    <t>Gestión de Cobranzas y Recuperaciones</t>
  </si>
  <si>
    <t>Gestión de Cobranzas Personas</t>
  </si>
  <si>
    <t>Gestión de créditos vencidos BP</t>
  </si>
  <si>
    <t>Refinanciamiento de créditos BP</t>
  </si>
  <si>
    <t>Reprogramación de créditos BP</t>
  </si>
  <si>
    <t>Judicialización de Créditos BP</t>
  </si>
  <si>
    <t>Condonación y Extorno BP</t>
  </si>
  <si>
    <t>Ejecución de Castigos BP</t>
  </si>
  <si>
    <t>Tercerización de Cartera Castigada</t>
  </si>
  <si>
    <t>Venta de Cartera Castigada BP</t>
  </si>
  <si>
    <t>Gestion de Cobranzas Empresas</t>
  </si>
  <si>
    <t>Recuperación de créditos BE</t>
  </si>
  <si>
    <t>Refinanciamiento de créditos BE</t>
  </si>
  <si>
    <t>Reprogramación de créditos BE</t>
  </si>
  <si>
    <t>Judicialización de Créditos BE</t>
  </si>
  <si>
    <t>Ejecución de Castigos BE</t>
  </si>
  <si>
    <t>Reestructuración de créditos BE</t>
  </si>
  <si>
    <t>Gestión del Crédito Vencido Banca Negocios</t>
  </si>
  <si>
    <t>Venta de Cartera Castigada BE</t>
  </si>
  <si>
    <t>Control Interno</t>
  </si>
  <si>
    <t>Gestión de Auditoría Interna</t>
  </si>
  <si>
    <t>Gestión de Prevención del Fraude</t>
  </si>
  <si>
    <t>Gestión de Cumplimiento Normativo</t>
  </si>
  <si>
    <t>Administración y control de la Gestión de Cumplimiento Normativo.</t>
  </si>
  <si>
    <t xml:space="preserve">Gestión de Prevención de Lavado de Activos </t>
  </si>
  <si>
    <t>Administración y control de la Gestión de Cumplimiento de Lavado de Activos</t>
  </si>
  <si>
    <t>Transaccionalidad PostDesembolso</t>
  </si>
  <si>
    <t>Gestión de digitalización de files</t>
  </si>
  <si>
    <t>Actividades no autorizadas</t>
  </si>
  <si>
    <t>Seguridad de los sistemas</t>
  </si>
  <si>
    <t>Relaciones laborales y seguridad en el puesto de trabajo</t>
  </si>
  <si>
    <t>Relaciones laborales</t>
  </si>
  <si>
    <t>Higiene y seguridad en el trabajo</t>
  </si>
  <si>
    <t>Diversidad y discriminación</t>
  </si>
  <si>
    <t>Adecuación, divulgación de información y confianza</t>
  </si>
  <si>
    <t>Productos defectuosos</t>
  </si>
  <si>
    <t>Selección, patrocinio y riesgos</t>
  </si>
  <si>
    <t>Actividades de asesoramiento</t>
  </si>
  <si>
    <t>Daños a activos materiales</t>
  </si>
  <si>
    <t>Desastres y otros acontecimientos</t>
  </si>
  <si>
    <t>Interrupción del negocio y fallos en los sistemas</t>
  </si>
  <si>
    <t>Sistemas</t>
  </si>
  <si>
    <t>Seguimiento y presentación de informes</t>
  </si>
  <si>
    <t>Aceptación de clientes y documentación</t>
  </si>
  <si>
    <t>Gestión de cuentas de clientes</t>
  </si>
  <si>
    <t>Contrapartes comerciales</t>
  </si>
  <si>
    <t>Distribuidores y proveedores</t>
  </si>
  <si>
    <t>TIPO DE EVENTO</t>
  </si>
  <si>
    <t>NIVEL 1</t>
  </si>
  <si>
    <t>NIVEL 2</t>
  </si>
  <si>
    <t>PROCESOS DE BANCO GNB</t>
  </si>
  <si>
    <t>Eventos externos</t>
  </si>
  <si>
    <t>Criterio de IMPACTO</t>
  </si>
  <si>
    <t>Límite inferior</t>
  </si>
  <si>
    <t>Límite superior</t>
  </si>
  <si>
    <t>Catastrófico</t>
  </si>
  <si>
    <t>Mayor</t>
  </si>
  <si>
    <t>Moderado</t>
  </si>
  <si>
    <t>IMPACTO</t>
  </si>
  <si>
    <t>Media</t>
  </si>
  <si>
    <t>Alta</t>
  </si>
  <si>
    <t>Muy Alta</t>
  </si>
  <si>
    <t>Medio</t>
  </si>
  <si>
    <t>Extremo</t>
  </si>
  <si>
    <t>Bajo</t>
  </si>
  <si>
    <t>Alto</t>
  </si>
  <si>
    <t>Periódico</t>
  </si>
  <si>
    <t>Eventual</t>
  </si>
  <si>
    <t>Automático</t>
  </si>
  <si>
    <t>Semiautomático</t>
  </si>
  <si>
    <t>Valor</t>
  </si>
  <si>
    <t>Tipo de Control</t>
  </si>
  <si>
    <t>Segregación</t>
  </si>
  <si>
    <t>Supervisión</t>
  </si>
  <si>
    <t>SI</t>
  </si>
  <si>
    <t>NO</t>
  </si>
  <si>
    <t>Disminuye</t>
  </si>
  <si>
    <t>% de Mitigación</t>
  </si>
  <si>
    <t>Calificación del Control</t>
  </si>
  <si>
    <t>Riesgo Materializado?</t>
  </si>
  <si>
    <t>Evitar</t>
  </si>
  <si>
    <t>Transferir</t>
  </si>
  <si>
    <t>Reducir</t>
  </si>
  <si>
    <t>Aceptar</t>
  </si>
  <si>
    <t>RECOMENDACIONES</t>
  </si>
  <si>
    <t>Área responsable</t>
  </si>
  <si>
    <t>Medidas de Tratamiento</t>
  </si>
  <si>
    <t>Líneas de Negocio</t>
  </si>
  <si>
    <t>Banca Comercial</t>
  </si>
  <si>
    <t>Banca Minorista</t>
  </si>
  <si>
    <t>Liquidación y Pagos</t>
  </si>
  <si>
    <t>Negociación y Ventas</t>
  </si>
  <si>
    <t>Otros servicios</t>
  </si>
  <si>
    <t>Control de referencia</t>
  </si>
  <si>
    <t>Permanente</t>
  </si>
  <si>
    <t>Gestión del Colaborador</t>
  </si>
  <si>
    <t>Mitigación Impacto</t>
  </si>
  <si>
    <t>% Inferior</t>
  </si>
  <si>
    <t>% Superior</t>
  </si>
  <si>
    <t>RESIDUAL</t>
  </si>
  <si>
    <t>Probabilidad</t>
  </si>
  <si>
    <t xml:space="preserve">Criterio Probabilidad </t>
  </si>
  <si>
    <t>Criterio Probabilidad</t>
  </si>
  <si>
    <t>Exposición
Residual</t>
  </si>
  <si>
    <t>Sustento Probabilidad</t>
  </si>
  <si>
    <t>CAUSA</t>
  </si>
  <si>
    <t>EVENTO</t>
  </si>
  <si>
    <t>CONSECUENCIA</t>
  </si>
  <si>
    <t>Tipo de Evento 
Nivel 2</t>
  </si>
  <si>
    <t>Tipo de Evento 
Nivel 1</t>
  </si>
  <si>
    <t xml:space="preserve"> </t>
  </si>
  <si>
    <t>FECHA DE ELABORACIÓN</t>
  </si>
  <si>
    <t>APROBADOR</t>
  </si>
  <si>
    <t>MACRO PROCESO</t>
  </si>
  <si>
    <t>PROCESO</t>
  </si>
  <si>
    <t>LINEA DE NEGOCIO</t>
  </si>
  <si>
    <t>DUEÑO DEL PROCESO</t>
  </si>
  <si>
    <t>RESPONSABLE REGISTRO RO</t>
  </si>
  <si>
    <t>Nombre</t>
  </si>
  <si>
    <t>Cargo</t>
  </si>
  <si>
    <t>Conocimiento y Analisis del Proceso</t>
  </si>
  <si>
    <t>A. Diagrama de bloques del proceso (Sub procesos que lo integran y relación)</t>
  </si>
  <si>
    <t>B. Información adicional/ Comentarios</t>
  </si>
  <si>
    <t>Titulo del Riesgo</t>
  </si>
  <si>
    <t>Factor N1</t>
  </si>
  <si>
    <t>Factor N2</t>
  </si>
  <si>
    <t>Factor de Riesgo 
N1</t>
  </si>
  <si>
    <t>Factor de Riesgo 
N2</t>
  </si>
  <si>
    <t>- xxx</t>
  </si>
  <si>
    <t>- xxxx</t>
  </si>
  <si>
    <t>Riesgo Asociado</t>
  </si>
  <si>
    <t>Riesgo de Crédito</t>
  </si>
  <si>
    <t>Riesgo de Mercado y Liquidez</t>
  </si>
  <si>
    <t>Riesgo Legal</t>
  </si>
  <si>
    <t>Riesgo de Seguros</t>
  </si>
  <si>
    <t>Riesgo Estratégico</t>
  </si>
  <si>
    <t>Riesgo de Reputación</t>
  </si>
  <si>
    <t>Personal</t>
  </si>
  <si>
    <t>Dependencia de personal</t>
  </si>
  <si>
    <t>Error involuntario</t>
  </si>
  <si>
    <t>Omisión de Funciones</t>
  </si>
  <si>
    <t>Desconocimiento del personal</t>
  </si>
  <si>
    <t>Actitud Deshonesta</t>
  </si>
  <si>
    <t>Personal Insuficiente</t>
  </si>
  <si>
    <t>Procesos Internos</t>
  </si>
  <si>
    <t>Falta de procedimiento</t>
  </si>
  <si>
    <t>Inadecuado diseño de procedimiento</t>
  </si>
  <si>
    <t>Falta de segregación</t>
  </si>
  <si>
    <t>Falta de Confidencialidad</t>
  </si>
  <si>
    <t>Falta de Disponibilidad</t>
  </si>
  <si>
    <t xml:space="preserve">Falta de Integridad </t>
  </si>
  <si>
    <t>Fallas por parte de proveedores</t>
  </si>
  <si>
    <t>Actitud deshonesta de terceros</t>
  </si>
  <si>
    <t>Desastres Naturales</t>
  </si>
  <si>
    <t>Daños a la infraestructura</t>
  </si>
  <si>
    <t>Cambios regulatorios</t>
  </si>
  <si>
    <t>Tecnologia de Informacion</t>
  </si>
  <si>
    <r>
      <t>Variables consideradas</t>
    </r>
    <r>
      <rPr>
        <b/>
        <sz val="10"/>
        <rFont val="Calibri"/>
        <family val="2"/>
        <scheme val="minor"/>
      </rPr>
      <t>:</t>
    </r>
  </si>
  <si>
    <r>
      <t>Supuestos</t>
    </r>
    <r>
      <rPr>
        <b/>
        <sz val="10"/>
        <rFont val="Calibri"/>
        <family val="2"/>
        <scheme val="minor"/>
      </rPr>
      <t>:</t>
    </r>
  </si>
  <si>
    <t>- "N" del PROCESO</t>
  </si>
  <si>
    <t>Impacto Estimado:</t>
  </si>
  <si>
    <t>PROBABILIDAD E IMPACTO</t>
  </si>
  <si>
    <t>Legal / Regulatorio</t>
  </si>
  <si>
    <t>Financiero</t>
  </si>
  <si>
    <t>Impacto Asociado</t>
  </si>
  <si>
    <t>Probabilidad Inherente</t>
  </si>
  <si>
    <t>Titulo de Control</t>
  </si>
  <si>
    <t>Descripcion Control</t>
  </si>
  <si>
    <t>PROBABILIDAD</t>
  </si>
  <si>
    <t>Niveles de Criticidad</t>
  </si>
  <si>
    <t>Area de Ejecucion</t>
  </si>
  <si>
    <t>CÁLCULO</t>
  </si>
  <si>
    <t>Mitigación Probabilidad</t>
  </si>
  <si>
    <t>Acciones Complementarias</t>
  </si>
  <si>
    <t>Calificación esperada del Control</t>
  </si>
  <si>
    <t>Documento Normativo Fuente</t>
  </si>
  <si>
    <t>Evidencia del Control</t>
  </si>
  <si>
    <t>Nivel 3</t>
  </si>
  <si>
    <t>Nivel 2</t>
  </si>
  <si>
    <t>Nivel 1</t>
  </si>
  <si>
    <t>Ambos</t>
  </si>
  <si>
    <t>Ejecución</t>
  </si>
  <si>
    <t>CALIFICACIÓN DEL CONTROL</t>
  </si>
  <si>
    <t>Insatisfactorio</t>
  </si>
  <si>
    <t>Bueno</t>
  </si>
  <si>
    <t>Excelente</t>
  </si>
  <si>
    <t>RIESGO ESPERADO</t>
  </si>
  <si>
    <t>Exposición
Esperada</t>
  </si>
  <si>
    <t>Nivel de Riesgo Esperado</t>
  </si>
  <si>
    <t>Nivel</t>
  </si>
  <si>
    <t>Nombre Riesgo</t>
  </si>
  <si>
    <t>Mes</t>
  </si>
  <si>
    <t>Total general</t>
  </si>
  <si>
    <t>Monto (S/.)*</t>
  </si>
  <si>
    <t>Eventos/ Incidentes (Nro.)</t>
  </si>
  <si>
    <t>Total Monto (S/.)*</t>
  </si>
  <si>
    <t>Total Eventos/ Incidentes (Nro.)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</si>
  <si>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</si>
  <si>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</si>
  <si>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</si>
  <si>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</si>
  <si>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</si>
  <si>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</si>
  <si>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</si>
  <si>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</si>
  <si>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</si>
  <si>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</si>
  <si>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</si>
  <si>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</si>
  <si>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Límite Inferior</t>
  </si>
  <si>
    <t>Límite Superior</t>
  </si>
  <si>
    <t/>
  </si>
  <si>
    <t>Carlos Wisse</t>
  </si>
  <si>
    <t>Elkee Altamirano</t>
  </si>
  <si>
    <t>no reportemos operacions sospechosas o inusuales a SBS</t>
  </si>
  <si>
    <t>Fallas en gestión de alertas</t>
  </si>
  <si>
    <t>multa de SBS</t>
  </si>
  <si>
    <t>multa de SBS o UIF</t>
  </si>
  <si>
    <t xml:space="preserve">Fallas en registro u omisión de reporte de clientes (Funcionario o…) </t>
  </si>
  <si>
    <t>Error en el registro de clientes</t>
  </si>
  <si>
    <t>Fallas en el sistema de alertas de ASSIT o en el registro de transacciones en Bantotal</t>
  </si>
  <si>
    <t>No</t>
  </si>
  <si>
    <t xml:space="preserve">Omisión de registro </t>
  </si>
  <si>
    <t>100 UIT</t>
  </si>
  <si>
    <t>Bantotal valida el largo del telefono, el código de provincia, primer nombre y primer apelido, campo obligatorio de dirección.</t>
  </si>
  <si>
    <t>Manuales de cada producto</t>
  </si>
  <si>
    <t>Guia de Actualización de Datos</t>
  </si>
  <si>
    <t>Valida que la información (a solicitud de área con documento sustento de cliente) y modifica si corresponde (sólo lo solicitado)</t>
  </si>
  <si>
    <t>Solicitud sellada por área de Mantenimiento de Base de Datos</t>
  </si>
  <si>
    <t>Mantenimiento de Base de Datos</t>
  </si>
  <si>
    <t>idem</t>
  </si>
  <si>
    <t>No hay control</t>
  </si>
  <si>
    <t>Omisión o desconocimiento de G. de Agencia o Funcionario durante la investigación</t>
  </si>
  <si>
    <t>Sistema de Alertas, monitoreo todas las operaciones de acuerdo a las reglas (pe. Monto, tipo de cliente, perfile, etc.)</t>
  </si>
  <si>
    <t>Gestión de Alertas</t>
  </si>
  <si>
    <t>Registro de Operaciones Inusuales</t>
  </si>
  <si>
    <t>PLAFT</t>
  </si>
  <si>
    <t>Especialista contacta con el funcionario para que pueda proporcionar la información (5 días habiles)</t>
  </si>
  <si>
    <t>Acta de Visita y Correos</t>
  </si>
  <si>
    <t>Desconocimiento el Funcionario o Gerente de Agencia comunique</t>
  </si>
  <si>
    <t>Indemnización (preguntar a Edgar)</t>
  </si>
  <si>
    <t>denuncia por parte del cliente</t>
  </si>
  <si>
    <t xml:space="preserve">El área realiza capacitación al personal (mantiene programa de capacitación) </t>
  </si>
  <si>
    <t>Actas de Capacitación / Examen / Sistema interna</t>
  </si>
  <si>
    <t>Manual de Políticas</t>
  </si>
  <si>
    <t>envien reporte reportes con información inconsistente</t>
  </si>
  <si>
    <t>Fallas en el sistema Bantotal</t>
  </si>
  <si>
    <t>Omisión por parte de área de Cumplimiento</t>
  </si>
  <si>
    <t>envien reporte reportes regualtorios tarde o que no se envie</t>
  </si>
  <si>
    <t>Monitoreo de la información a enviar a SBS</t>
  </si>
  <si>
    <t>Manual de reportes regulatorios</t>
  </si>
  <si>
    <t>Correo electrónico y carpeta compartida de Cumplimiento (cargos)</t>
  </si>
  <si>
    <t>Validación (1 o 2) de data antes de enviar el reporte</t>
  </si>
  <si>
    <t>carpeta compartida de Cumplimiento (cargos)</t>
  </si>
  <si>
    <t>no se encuentre actualizada</t>
  </si>
  <si>
    <t>Omisión de personal (cumplimiento)</t>
  </si>
  <si>
    <t>Validación mensual de cruce de listas negativas</t>
  </si>
  <si>
    <t>Informe a Oficial de Cumplimiento</t>
  </si>
  <si>
    <t>Manual de registro, carga y cruce de lista negativas</t>
  </si>
  <si>
    <t>Fallas en el sistema Bantotal (se registre y no lo tenga el sistema)</t>
  </si>
  <si>
    <t>Sistema Assit, tiene una regla que revisa los clientes que se encuentran en lista negras y emite 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</si>
</sst>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&quot;S/.&quot;\ #,##0"/>
    <numFmt numFmtId="166" formatCode="_ * #,##0.0_ ;_ * \-#,##0.0_ ;_ * &quot;-&quot;??_ ;_ @_ "/>
    <numFmt numFmtId="167" formatCode="&quot;S/.&quot;\ #,##0.00"/>
    <numFmt numFmtId="168" formatCode="[$-F800]dddd\,\ mmmm\ dd\,\ yyyy"/>
    <numFmt numFmtId="169" formatCode="\C00#"/>
    <numFmt numFmtId="170" formatCode="0.0%"/>
    <numFmt numFmtId="171" formatCode="&quot;S/.&quot;\ #,##0.0"/>
    <numFmt numFmtId="172" formatCode="\R\O\-00#"/>
    <numFmt numFmtId="173" formatCode="_([$€-2]\ * #,##0.00_);_([$€-2]\ * \(#,##0.00\);_([$€-2]\ * &quot;-&quot;??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CC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0000CC"/>
      <name val="Calibri"/>
      <family val="2"/>
      <scheme val="minor"/>
    </font>
    <font>
      <b/>
      <sz val="8"/>
      <color theme="3"/>
      <name val="Calibri"/>
      <family val="2"/>
      <scheme val="minor"/>
    </font>
    <font>
      <sz val="8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name val="Formata Regular"/>
    </font>
    <font>
      <sz val="12"/>
      <name val="Times New Roman"/>
      <family val="1"/>
    </font>
    <font>
      <b/>
      <u/>
      <sz val="8"/>
      <name val="Calibri"/>
      <family val="2"/>
      <scheme val="minor"/>
    </font>
    <font>
      <sz val="8"/>
      <color indexed="10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D0D0D"/>
      <name val="Arial"/>
      <family val="2"/>
    </font>
    <font>
      <b/>
      <i/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DE838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ashed">
        <color theme="1" tint="0.499984740745262"/>
      </left>
      <right style="dashed">
        <color theme="1" tint="0.499984740745262"/>
      </right>
      <top style="dashed">
        <color theme="1" tint="0.499984740745262"/>
      </top>
      <bottom style="dashed">
        <color theme="1" tint="0.499984740745262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indexed="64"/>
      </bottom>
      <diagonal/>
    </border>
    <border>
      <left/>
      <right style="medium">
        <color theme="0" tint="-0.24994659260841701"/>
      </right>
      <top style="thin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indexed="64"/>
      </right>
      <top style="thin">
        <color indexed="64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uble">
        <color indexed="64"/>
      </bottom>
      <diagonal/>
    </border>
    <border>
      <left style="medium">
        <color theme="0" tint="-0.24994659260841701"/>
      </left>
      <right style="thin">
        <color indexed="64"/>
      </right>
      <top style="medium">
        <color theme="0" tint="-0.24994659260841701"/>
      </top>
      <bottom style="double">
        <color indexed="64"/>
      </bottom>
      <diagonal/>
    </border>
    <border>
      <left style="medium">
        <color theme="0" tint="-0.2499465926084170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double">
        <color indexed="64"/>
      </bottom>
      <diagonal/>
    </border>
    <border>
      <left style="medium">
        <color theme="0" tint="-0.24994659260841701"/>
      </left>
      <right/>
      <top/>
      <bottom style="double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theme="0" tint="-0.24994659260841701"/>
      </right>
      <top style="medium">
        <color theme="0" tint="-0.24994659260841701"/>
      </top>
      <bottom style="double">
        <color indexed="64"/>
      </bottom>
      <diagonal/>
    </border>
    <border>
      <left/>
      <right/>
      <top style="medium">
        <color theme="0" tint="-0.24994659260841701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24994659260841701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13" fillId="0" borderId="0"/>
    <xf numFmtId="0" fontId="13" fillId="0" borderId="0"/>
    <xf numFmtId="0" fontId="25" fillId="0" borderId="0"/>
    <xf numFmtId="43" fontId="8" fillId="0" borderId="0" applyFont="0" applyFill="0" applyBorder="0" applyAlignment="0" applyProtection="0"/>
    <xf numFmtId="164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/>
  </cellStyleXfs>
  <cellXfs count="29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1" fillId="0" borderId="0" xfId="0" applyFont="1"/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Protection="1">
      <protection locked="0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 wrapText="1"/>
    </xf>
    <xf numFmtId="2" fontId="19" fillId="0" borderId="1" xfId="0" applyNumberFormat="1" applyFont="1" applyBorder="1" applyAlignment="1">
      <alignment vertical="center" wrapText="1"/>
    </xf>
    <xf numFmtId="2" fontId="19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 wrapText="1"/>
    </xf>
    <xf numFmtId="1" fontId="19" fillId="9" borderId="7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" fontId="19" fillId="10" borderId="7" xfId="0" applyNumberFormat="1" applyFont="1" applyFill="1" applyBorder="1" applyAlignment="1">
      <alignment horizontal="center" vertical="center" wrapText="1"/>
    </xf>
    <xf numFmtId="1" fontId="19" fillId="11" borderId="7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 wrapText="1"/>
    </xf>
    <xf numFmtId="1" fontId="19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19" fillId="13" borderId="1" xfId="0" applyNumberFormat="1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1" fontId="17" fillId="2" borderId="4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20" fillId="0" borderId="1" xfId="0" applyFont="1" applyBorder="1" applyAlignment="1">
      <alignment horizontal="justify" vertical="center"/>
    </xf>
    <xf numFmtId="0" fontId="10" fillId="6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0" fontId="19" fillId="12" borderId="0" xfId="0" applyFont="1" applyFill="1" applyAlignment="1">
      <alignment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2" fontId="18" fillId="2" borderId="0" xfId="0" applyNumberFormat="1" applyFont="1" applyFill="1" applyAlignment="1">
      <alignment horizontal="center" vertical="center" wrapText="1"/>
    </xf>
    <xf numFmtId="2" fontId="18" fillId="2" borderId="4" xfId="0" applyNumberFormat="1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9" fillId="0" borderId="0" xfId="0" applyFont="1"/>
    <xf numFmtId="165" fontId="2" fillId="14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4" fontId="19" fillId="0" borderId="0" xfId="0" applyNumberFormat="1" applyFont="1" applyAlignment="1">
      <alignment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6" fillId="0" borderId="1" xfId="0" applyFont="1" applyBorder="1"/>
    <xf numFmtId="164" fontId="0" fillId="0" borderId="0" xfId="1" applyFont="1"/>
    <xf numFmtId="164" fontId="0" fillId="12" borderId="0" xfId="1" applyFont="1" applyFill="1"/>
    <xf numFmtId="0" fontId="26" fillId="12" borderId="1" xfId="0" applyFont="1" applyFill="1" applyBorder="1"/>
    <xf numFmtId="164" fontId="26" fillId="12" borderId="1" xfId="1" applyFont="1" applyFill="1" applyBorder="1"/>
    <xf numFmtId="164" fontId="3" fillId="0" borderId="0" xfId="1" applyFont="1"/>
    <xf numFmtId="164" fontId="0" fillId="8" borderId="0" xfId="1" applyFont="1" applyFill="1"/>
    <xf numFmtId="164" fontId="0" fillId="5" borderId="0" xfId="1" applyFont="1" applyFill="1"/>
    <xf numFmtId="164" fontId="0" fillId="6" borderId="0" xfId="1" applyFont="1" applyFill="1"/>
    <xf numFmtId="164" fontId="0" fillId="15" borderId="0" xfId="1" applyFont="1" applyFill="1"/>
    <xf numFmtId="164" fontId="0" fillId="14" borderId="0" xfId="1" applyFont="1" applyFill="1"/>
    <xf numFmtId="164" fontId="26" fillId="6" borderId="0" xfId="1" applyFont="1" applyFill="1"/>
    <xf numFmtId="164" fontId="26" fillId="8" borderId="0" xfId="1" applyFont="1" applyFill="1"/>
    <xf numFmtId="164" fontId="26" fillId="15" borderId="0" xfId="1" applyFont="1" applyFill="1"/>
    <xf numFmtId="164" fontId="0" fillId="8" borderId="0" xfId="0" applyNumberFormat="1" applyFill="1"/>
    <xf numFmtId="3" fontId="2" fillId="0" borderId="1" xfId="0" applyNumberFormat="1" applyFont="1" applyBorder="1" applyAlignment="1">
      <alignment vertical="center" wrapText="1"/>
    </xf>
    <xf numFmtId="10" fontId="2" fillId="0" borderId="1" xfId="3" applyNumberFormat="1" applyFont="1" applyBorder="1" applyAlignment="1">
      <alignment vertical="center" wrapText="1"/>
    </xf>
    <xf numFmtId="10" fontId="2" fillId="16" borderId="1" xfId="3" applyNumberFormat="1" applyFont="1" applyFill="1" applyBorder="1" applyAlignment="1">
      <alignment vertical="center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9" fontId="3" fillId="0" borderId="0" xfId="3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10" fontId="23" fillId="12" borderId="1" xfId="3" applyNumberFormat="1" applyFont="1" applyFill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3" fillId="0" borderId="28" xfId="0" applyFont="1" applyBorder="1" applyAlignment="1">
      <alignment horizontal="left" vertical="center" wrapText="1"/>
    </xf>
    <xf numFmtId="0" fontId="23" fillId="12" borderId="28" xfId="0" applyFont="1" applyFill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170" fontId="3" fillId="0" borderId="28" xfId="3" applyNumberFormat="1" applyFont="1" applyFill="1" applyBorder="1" applyAlignment="1">
      <alignment horizontal="center" vertical="center" wrapText="1"/>
    </xf>
    <xf numFmtId="167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 wrapText="1"/>
    </xf>
    <xf numFmtId="3" fontId="23" fillId="12" borderId="28" xfId="0" applyNumberFormat="1" applyFont="1" applyFill="1" applyBorder="1" applyAlignment="1">
      <alignment horizontal="center" vertical="center" wrapText="1"/>
    </xf>
    <xf numFmtId="169" fontId="5" fillId="0" borderId="28" xfId="0" applyNumberFormat="1" applyFont="1" applyBorder="1" applyAlignment="1">
      <alignment horizontal="center" vertical="center" wrapText="1"/>
    </xf>
    <xf numFmtId="0" fontId="3" fillId="0" borderId="28" xfId="1" applyNumberFormat="1" applyFont="1" applyFill="1" applyBorder="1" applyAlignment="1">
      <alignment horizontal="center" vertical="center" wrapText="1"/>
    </xf>
    <xf numFmtId="10" fontId="23" fillId="12" borderId="28" xfId="3" applyNumberFormat="1" applyFont="1" applyFill="1" applyBorder="1" applyAlignment="1">
      <alignment horizontal="center" vertical="center" wrapText="1"/>
    </xf>
    <xf numFmtId="10" fontId="3" fillId="0" borderId="28" xfId="0" applyNumberFormat="1" applyFont="1" applyBorder="1" applyAlignment="1">
      <alignment horizontal="center" vertical="center" wrapText="1"/>
    </xf>
    <xf numFmtId="10" fontId="24" fillId="12" borderId="28" xfId="3" applyNumberFormat="1" applyFont="1" applyFill="1" applyBorder="1" applyAlignment="1">
      <alignment horizontal="center" vertical="center" wrapText="1"/>
    </xf>
    <xf numFmtId="167" fontId="24" fillId="12" borderId="28" xfId="0" applyNumberFormat="1" applyFont="1" applyFill="1" applyBorder="1" applyAlignment="1">
      <alignment horizontal="center" vertical="center" wrapText="1"/>
    </xf>
    <xf numFmtId="167" fontId="10" fillId="12" borderId="28" xfId="0" applyNumberFormat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172" fontId="5" fillId="0" borderId="28" xfId="0" applyNumberFormat="1" applyFont="1" applyBorder="1" applyAlignment="1">
      <alignment horizontal="center" vertical="center" wrapText="1"/>
    </xf>
    <xf numFmtId="172" fontId="5" fillId="0" borderId="1" xfId="0" applyNumberFormat="1" applyFont="1" applyBorder="1" applyAlignment="1">
      <alignment horizontal="center" vertical="center" wrapText="1"/>
    </xf>
    <xf numFmtId="0" fontId="7" fillId="0" borderId="0" xfId="4" applyFont="1"/>
    <xf numFmtId="0" fontId="7" fillId="0" borderId="0" xfId="4" applyFont="1" applyAlignment="1">
      <alignment vertical="center" wrapText="1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10" fillId="0" borderId="0" xfId="4" applyFont="1"/>
    <xf numFmtId="0" fontId="7" fillId="0" borderId="35" xfId="4" applyFont="1" applyBorder="1"/>
    <xf numFmtId="0" fontId="7" fillId="0" borderId="30" xfId="4" applyFont="1" applyBorder="1"/>
    <xf numFmtId="0" fontId="7" fillId="4" borderId="35" xfId="4" applyFont="1" applyFill="1" applyBorder="1"/>
    <xf numFmtId="0" fontId="7" fillId="4" borderId="0" xfId="4" applyFont="1" applyFill="1"/>
    <xf numFmtId="0" fontId="7" fillId="4" borderId="30" xfId="4" applyFont="1" applyFill="1" applyBorder="1"/>
    <xf numFmtId="0" fontId="10" fillId="17" borderId="32" xfId="4" applyFont="1" applyFill="1" applyBorder="1" applyAlignment="1">
      <alignment horizontal="left" vertical="center"/>
    </xf>
    <xf numFmtId="0" fontId="10" fillId="17" borderId="33" xfId="4" applyFont="1" applyFill="1" applyBorder="1" applyAlignment="1">
      <alignment horizontal="left" vertical="center"/>
    </xf>
    <xf numFmtId="0" fontId="10" fillId="17" borderId="34" xfId="4" applyFont="1" applyFill="1" applyBorder="1" applyAlignment="1">
      <alignment horizontal="left" vertical="center"/>
    </xf>
    <xf numFmtId="0" fontId="32" fillId="0" borderId="38" xfId="4" applyFont="1" applyBorder="1"/>
    <xf numFmtId="0" fontId="15" fillId="0" borderId="0" xfId="4" applyFont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7" fillId="7" borderId="41" xfId="0" applyFont="1" applyFill="1" applyBorder="1" applyAlignment="1">
      <alignment vertical="center" wrapText="1"/>
    </xf>
    <xf numFmtId="0" fontId="7" fillId="7" borderId="43" xfId="0" applyFont="1" applyFill="1" applyBorder="1" applyAlignment="1">
      <alignment vertical="center" wrapText="1"/>
    </xf>
    <xf numFmtId="0" fontId="7" fillId="7" borderId="45" xfId="0" applyFont="1" applyFill="1" applyBorder="1" applyAlignment="1">
      <alignment vertical="center" wrapText="1"/>
    </xf>
    <xf numFmtId="168" fontId="7" fillId="7" borderId="41" xfId="0" applyNumberFormat="1" applyFont="1" applyFill="1" applyBorder="1" applyAlignment="1">
      <alignment vertical="center" wrapText="1"/>
    </xf>
    <xf numFmtId="0" fontId="7" fillId="7" borderId="44" xfId="0" applyFont="1" applyFill="1" applyBorder="1" applyAlignment="1">
      <alignment vertical="center" wrapText="1"/>
    </xf>
    <xf numFmtId="0" fontId="7" fillId="7" borderId="46" xfId="0" applyFont="1" applyFill="1" applyBorder="1" applyAlignment="1">
      <alignment vertical="center" wrapText="1"/>
    </xf>
    <xf numFmtId="0" fontId="31" fillId="0" borderId="1" xfId="4" applyFont="1" applyBorder="1" applyAlignment="1">
      <alignment horizontal="center" vertical="center"/>
    </xf>
    <xf numFmtId="0" fontId="7" fillId="0" borderId="36" xfId="4" applyFont="1" applyBorder="1" applyAlignment="1">
      <alignment vertical="top" wrapText="1"/>
    </xf>
    <xf numFmtId="0" fontId="7" fillId="0" borderId="37" xfId="4" applyFont="1" applyBorder="1" applyAlignment="1">
      <alignment vertical="top" wrapText="1"/>
    </xf>
    <xf numFmtId="0" fontId="7" fillId="0" borderId="29" xfId="4" applyFont="1" applyBorder="1" applyAlignment="1">
      <alignment vertical="top" wrapText="1"/>
    </xf>
    <xf numFmtId="0" fontId="7" fillId="0" borderId="35" xfId="4" applyFont="1" applyBorder="1" applyAlignment="1">
      <alignment vertical="top" wrapText="1"/>
    </xf>
    <xf numFmtId="0" fontId="7" fillId="0" borderId="0" xfId="4" applyFont="1" applyAlignment="1">
      <alignment vertical="top" wrapText="1"/>
    </xf>
    <xf numFmtId="0" fontId="7" fillId="0" borderId="30" xfId="4" applyFont="1" applyBorder="1" applyAlignment="1">
      <alignment vertical="top" wrapText="1"/>
    </xf>
    <xf numFmtId="0" fontId="32" fillId="0" borderId="39" xfId="4" applyFont="1" applyBorder="1"/>
    <xf numFmtId="0" fontId="32" fillId="0" borderId="31" xfId="4" applyFont="1" applyBorder="1"/>
    <xf numFmtId="2" fontId="14" fillId="0" borderId="1" xfId="0" applyNumberFormat="1" applyFont="1" applyBorder="1" applyAlignment="1">
      <alignment vertical="center" wrapText="1"/>
    </xf>
    <xf numFmtId="2" fontId="15" fillId="0" borderId="1" xfId="0" applyNumberFormat="1" applyFont="1" applyBorder="1" applyAlignment="1">
      <alignment vertical="center" wrapText="1"/>
    </xf>
    <xf numFmtId="2" fontId="14" fillId="13" borderId="1" xfId="0" applyNumberFormat="1" applyFont="1" applyFill="1" applyBorder="1" applyAlignment="1">
      <alignment vertical="center" wrapText="1"/>
    </xf>
    <xf numFmtId="2" fontId="18" fillId="2" borderId="28" xfId="0" applyNumberFormat="1" applyFont="1" applyFill="1" applyBorder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2" fontId="2" fillId="18" borderId="1" xfId="0" applyNumberFormat="1" applyFont="1" applyFill="1" applyBorder="1" applyAlignment="1">
      <alignment vertical="center" wrapText="1"/>
    </xf>
    <xf numFmtId="0" fontId="19" fillId="0" borderId="0" xfId="0" applyFont="1" applyAlignment="1">
      <alignment vertical="center"/>
    </xf>
    <xf numFmtId="0" fontId="33" fillId="0" borderId="0" xfId="0" applyFont="1"/>
    <xf numFmtId="0" fontId="19" fillId="0" borderId="0" xfId="0" applyFont="1"/>
    <xf numFmtId="0" fontId="15" fillId="6" borderId="1" xfId="2" quotePrefix="1" applyFont="1" applyFill="1" applyBorder="1" applyAlignment="1">
      <alignment vertical="center" wrapText="1"/>
    </xf>
    <xf numFmtId="0" fontId="19" fillId="0" borderId="4" xfId="0" applyFont="1" applyBorder="1" applyAlignment="1">
      <alignment horizontal="center" vertical="center"/>
    </xf>
    <xf numFmtId="0" fontId="15" fillId="6" borderId="1" xfId="2" applyFont="1" applyFill="1" applyBorder="1" applyAlignment="1">
      <alignment horizontal="left" vertical="center" wrapText="1"/>
    </xf>
    <xf numFmtId="171" fontId="15" fillId="0" borderId="1" xfId="1" applyNumberFormat="1" applyFont="1" applyBorder="1" applyAlignment="1">
      <alignment vertical="center"/>
    </xf>
    <xf numFmtId="0" fontId="14" fillId="0" borderId="0" xfId="0" quotePrefix="1" applyFont="1" applyAlignment="1">
      <alignment vertical="center"/>
    </xf>
    <xf numFmtId="166" fontId="15" fillId="0" borderId="1" xfId="1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4" fillId="0" borderId="3" xfId="0" applyFont="1" applyBorder="1" applyAlignment="1">
      <alignment horizontal="left" vertical="center" wrapText="1"/>
    </xf>
    <xf numFmtId="0" fontId="19" fillId="0" borderId="9" xfId="0" applyFont="1" applyBorder="1"/>
    <xf numFmtId="0" fontId="14" fillId="0" borderId="2" xfId="0" applyFont="1" applyBorder="1" applyAlignment="1">
      <alignment horizontal="left" vertical="center"/>
    </xf>
    <xf numFmtId="0" fontId="15" fillId="6" borderId="4" xfId="2" quotePrefix="1" applyFont="1" applyFill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171" fontId="15" fillId="0" borderId="0" xfId="1" applyNumberFormat="1" applyFont="1" applyFill="1" applyBorder="1" applyAlignment="1">
      <alignment vertical="center"/>
    </xf>
    <xf numFmtId="166" fontId="15" fillId="0" borderId="0" xfId="1" applyNumberFormat="1" applyFont="1" applyFill="1" applyBorder="1" applyAlignment="1">
      <alignment vertical="center"/>
    </xf>
    <xf numFmtId="171" fontId="15" fillId="0" borderId="1" xfId="1" applyNumberFormat="1" applyFont="1" applyBorder="1" applyAlignment="1">
      <alignment horizontal="center" vertical="center"/>
    </xf>
    <xf numFmtId="0" fontId="34" fillId="0" borderId="0" xfId="0" applyFont="1"/>
    <xf numFmtId="170" fontId="19" fillId="0" borderId="0" xfId="3" applyNumberFormat="1" applyFont="1" applyBorder="1"/>
    <xf numFmtId="170" fontId="19" fillId="0" borderId="0" xfId="3" applyNumberFormat="1" applyFont="1" applyFill="1" applyBorder="1"/>
    <xf numFmtId="0" fontId="2" fillId="0" borderId="1" xfId="0" applyFont="1" applyBorder="1" applyAlignment="1">
      <alignment horizontal="left" vertical="center"/>
    </xf>
    <xf numFmtId="0" fontId="35" fillId="3" borderId="47" xfId="0" applyFont="1" applyFill="1" applyBorder="1"/>
    <xf numFmtId="0" fontId="19" fillId="0" borderId="6" xfId="0" applyFont="1" applyBorder="1"/>
    <xf numFmtId="0" fontId="19" fillId="0" borderId="48" xfId="0" applyFont="1" applyBorder="1"/>
    <xf numFmtId="0" fontId="36" fillId="19" borderId="0" xfId="0" applyFont="1" applyFill="1" applyAlignment="1">
      <alignment horizontal="center"/>
    </xf>
    <xf numFmtId="0" fontId="19" fillId="0" borderId="49" xfId="0" applyFont="1" applyBorder="1" applyAlignment="1">
      <alignment vertical="center"/>
    </xf>
    <xf numFmtId="0" fontId="19" fillId="0" borderId="49" xfId="0" applyFont="1" applyBorder="1"/>
    <xf numFmtId="0" fontId="19" fillId="0" borderId="50" xfId="0" applyFont="1" applyBorder="1"/>
    <xf numFmtId="0" fontId="33" fillId="0" borderId="6" xfId="0" applyFont="1" applyBorder="1"/>
    <xf numFmtId="0" fontId="19" fillId="0" borderId="51" xfId="0" applyFont="1" applyBorder="1"/>
    <xf numFmtId="0" fontId="19" fillId="0" borderId="47" xfId="0" applyFont="1" applyBorder="1"/>
    <xf numFmtId="0" fontId="19" fillId="0" borderId="52" xfId="0" applyFont="1" applyBorder="1"/>
    <xf numFmtId="0" fontId="19" fillId="19" borderId="0" xfId="0" applyFont="1" applyFill="1"/>
    <xf numFmtId="0" fontId="19" fillId="19" borderId="6" xfId="0" applyFont="1" applyFill="1" applyBorder="1"/>
    <xf numFmtId="0" fontId="19" fillId="19" borderId="0" xfId="0" applyFont="1" applyFill="1" applyAlignment="1">
      <alignment vertical="center"/>
    </xf>
    <xf numFmtId="9" fontId="7" fillId="0" borderId="28" xfId="3" applyFont="1" applyFill="1" applyBorder="1" applyAlignment="1">
      <alignment horizontal="center" vertical="center" wrapText="1"/>
    </xf>
    <xf numFmtId="9" fontId="7" fillId="0" borderId="1" xfId="3" applyFont="1" applyFill="1" applyBorder="1" applyAlignment="1">
      <alignment horizontal="center" vertical="center" wrapText="1"/>
    </xf>
    <xf numFmtId="169" fontId="3" fillId="4" borderId="28" xfId="0" applyNumberFormat="1" applyFont="1" applyFill="1" applyBorder="1" applyAlignment="1">
      <alignment horizontal="center" vertical="center" wrapText="1"/>
    </xf>
    <xf numFmtId="169" fontId="3" fillId="4" borderId="1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53" xfId="0" applyFont="1" applyFill="1" applyBorder="1" applyAlignment="1">
      <alignment horizontal="center" vertical="center" wrapText="1"/>
    </xf>
    <xf numFmtId="0" fontId="23" fillId="12" borderId="28" xfId="0" applyFont="1" applyFill="1" applyBorder="1" applyAlignment="1">
      <alignment vertical="center" wrapText="1"/>
    </xf>
    <xf numFmtId="0" fontId="23" fillId="12" borderId="1" xfId="0" applyFont="1" applyFill="1" applyBorder="1" applyAlignment="1">
      <alignment horizontal="left" vertical="center" wrapText="1"/>
    </xf>
    <xf numFmtId="14" fontId="3" fillId="0" borderId="28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10" fontId="38" fillId="0" borderId="1" xfId="0" applyNumberFormat="1" applyFont="1" applyBorder="1" applyAlignment="1">
      <alignment horizontal="center" vertical="center"/>
    </xf>
    <xf numFmtId="9" fontId="38" fillId="0" borderId="1" xfId="0" applyNumberFormat="1" applyFont="1" applyBorder="1" applyAlignment="1">
      <alignment horizontal="center" vertical="center"/>
    </xf>
    <xf numFmtId="170" fontId="4" fillId="2" borderId="11" xfId="3" applyNumberFormat="1" applyFont="1" applyFill="1" applyBorder="1" applyAlignment="1">
      <alignment horizontal="center" vertical="center" wrapText="1"/>
    </xf>
    <xf numFmtId="170" fontId="3" fillId="0" borderId="0" xfId="3" applyNumberFormat="1" applyFont="1" applyAlignment="1">
      <alignment horizontal="center"/>
    </xf>
    <xf numFmtId="170" fontId="23" fillId="12" borderId="28" xfId="3" applyNumberFormat="1" applyFont="1" applyFill="1" applyBorder="1" applyAlignment="1">
      <alignment horizontal="center" vertical="center" wrapText="1"/>
    </xf>
    <xf numFmtId="164" fontId="19" fillId="0" borderId="0" xfId="1" applyFont="1" applyAlignment="1">
      <alignment vertical="center" wrapText="1"/>
    </xf>
    <xf numFmtId="2" fontId="18" fillId="2" borderId="9" xfId="0" applyNumberFormat="1" applyFont="1" applyFill="1" applyBorder="1" applyAlignment="1">
      <alignment vertical="center" wrapText="1"/>
    </xf>
    <xf numFmtId="0" fontId="10" fillId="6" borderId="1" xfId="2" quotePrefix="1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0" fillId="6" borderId="1" xfId="2" applyFont="1" applyFill="1" applyBorder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10" fillId="0" borderId="1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10" fillId="7" borderId="1" xfId="1" applyFont="1" applyFill="1" applyBorder="1" applyAlignment="1">
      <alignment vertical="center"/>
    </xf>
    <xf numFmtId="164" fontId="39" fillId="0" borderId="0" xfId="1" applyFont="1" applyBorder="1" applyAlignment="1">
      <alignment horizontal="left" vertical="center" wrapText="1"/>
    </xf>
    <xf numFmtId="0" fontId="10" fillId="0" borderId="1" xfId="0" applyFont="1" applyBorder="1"/>
    <xf numFmtId="171" fontId="2" fillId="8" borderId="1" xfId="0" applyNumberFormat="1" applyFont="1" applyFill="1" applyBorder="1" applyAlignment="1">
      <alignment horizontal="center" vertical="center"/>
    </xf>
    <xf numFmtId="171" fontId="2" fillId="15" borderId="1" xfId="0" applyNumberFormat="1" applyFont="1" applyFill="1" applyBorder="1" applyAlignment="1">
      <alignment horizontal="center" vertical="center" wrapText="1"/>
    </xf>
    <xf numFmtId="171" fontId="15" fillId="14" borderId="1" xfId="0" applyNumberFormat="1" applyFont="1" applyFill="1" applyBorder="1" applyAlignment="1">
      <alignment horizontal="center" vertical="center" wrapText="1"/>
    </xf>
    <xf numFmtId="171" fontId="2" fillId="20" borderId="1" xfId="0" applyNumberFormat="1" applyFont="1" applyFill="1" applyBorder="1" applyAlignment="1">
      <alignment horizontal="center" vertical="center"/>
    </xf>
    <xf numFmtId="171" fontId="2" fillId="5" borderId="1" xfId="0" applyNumberFormat="1" applyFont="1" applyFill="1" applyBorder="1" applyAlignment="1">
      <alignment horizontal="center" vertical="center" wrapText="1"/>
    </xf>
    <xf numFmtId="164" fontId="19" fillId="0" borderId="0" xfId="1" applyFont="1" applyAlignment="1">
      <alignment horizontal="center" vertical="center" wrapText="1"/>
    </xf>
    <xf numFmtId="0" fontId="27" fillId="0" borderId="28" xfId="0" applyFont="1" applyBorder="1" applyAlignment="1">
      <alignment horizontal="left" vertical="center" wrapText="1"/>
    </xf>
    <xf numFmtId="164" fontId="15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4" fillId="2" borderId="57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 wrapText="1"/>
    </xf>
    <xf numFmtId="0" fontId="23" fillId="4" borderId="54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0" fillId="6" borderId="32" xfId="4" applyFont="1" applyFill="1" applyBorder="1" applyAlignment="1">
      <alignment horizontal="left" vertical="center" wrapText="1"/>
    </xf>
    <xf numFmtId="0" fontId="10" fillId="6" borderId="33" xfId="4" applyFont="1" applyFill="1" applyBorder="1" applyAlignment="1">
      <alignment horizontal="left" vertical="center" wrapText="1"/>
    </xf>
    <xf numFmtId="0" fontId="10" fillId="6" borderId="34" xfId="4" applyFont="1" applyFill="1" applyBorder="1" applyAlignment="1">
      <alignment horizontal="left" vertical="center" wrapText="1"/>
    </xf>
    <xf numFmtId="0" fontId="7" fillId="7" borderId="40" xfId="0" applyFont="1" applyFill="1" applyBorder="1" applyAlignment="1">
      <alignment horizontal="center" vertical="center" wrapText="1"/>
    </xf>
    <xf numFmtId="0" fontId="7" fillId="7" borderId="44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0" fontId="7" fillId="7" borderId="45" xfId="0" applyFont="1" applyFill="1" applyBorder="1" applyAlignment="1">
      <alignment horizontal="center" vertical="center" wrapText="1"/>
    </xf>
    <xf numFmtId="0" fontId="7" fillId="7" borderId="42" xfId="0" applyFont="1" applyFill="1" applyBorder="1" applyAlignment="1">
      <alignment horizontal="center" vertical="center" wrapText="1"/>
    </xf>
    <xf numFmtId="0" fontId="7" fillId="7" borderId="46" xfId="0" applyFont="1" applyFill="1" applyBorder="1" applyAlignment="1">
      <alignment horizontal="center" vertical="center" wrapText="1"/>
    </xf>
    <xf numFmtId="0" fontId="15" fillId="0" borderId="0" xfId="0" quotePrefix="1" applyFont="1" applyAlignment="1">
      <alignment horizontal="left" vertical="center" wrapText="1"/>
    </xf>
    <xf numFmtId="0" fontId="15" fillId="0" borderId="6" xfId="0" quotePrefix="1" applyFont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4" borderId="2" xfId="2" applyFont="1" applyFill="1" applyBorder="1" applyAlignment="1">
      <alignment horizontal="left" vertical="center" wrapText="1"/>
    </xf>
    <xf numFmtId="0" fontId="15" fillId="4" borderId="5" xfId="2" applyFont="1" applyFill="1" applyBorder="1" applyAlignment="1">
      <alignment horizontal="left" vertical="center" wrapText="1"/>
    </xf>
    <xf numFmtId="0" fontId="15" fillId="4" borderId="3" xfId="2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0" xfId="0" quotePrefix="1" applyFont="1" applyAlignment="1">
      <alignment horizontal="center" vertical="center" wrapText="1"/>
    </xf>
    <xf numFmtId="0" fontId="15" fillId="0" borderId="6" xfId="0" quotePrefix="1" applyFont="1" applyBorder="1" applyAlignment="1">
      <alignment horizontal="center" vertical="center" wrapText="1"/>
    </xf>
    <xf numFmtId="0" fontId="36" fillId="19" borderId="0" xfId="0" applyFont="1" applyFill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9" fillId="0" borderId="5" xfId="2" applyFont="1" applyBorder="1" applyAlignment="1">
      <alignment horizontal="left" vertical="center" wrapText="1"/>
    </xf>
    <xf numFmtId="0" fontId="39" fillId="0" borderId="3" xfId="2" applyFont="1" applyBorder="1" applyAlignment="1">
      <alignment horizontal="left" vertical="center" wrapText="1"/>
    </xf>
    <xf numFmtId="164" fontId="10" fillId="6" borderId="4" xfId="1" applyFont="1" applyFill="1" applyBorder="1" applyAlignment="1">
      <alignment horizontal="center" vertical="center" wrapText="1"/>
    </xf>
    <xf numFmtId="164" fontId="10" fillId="6" borderId="28" xfId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164" fontId="10" fillId="6" borderId="2" xfId="1" applyFont="1" applyFill="1" applyBorder="1" applyAlignment="1">
      <alignment horizontal="center" vertical="center" wrapText="1"/>
    </xf>
    <xf numFmtId="164" fontId="10" fillId="6" borderId="3" xfId="1" applyFont="1" applyFill="1" applyBorder="1" applyAlignment="1">
      <alignment horizontal="center" vertical="center" wrapText="1"/>
    </xf>
    <xf numFmtId="164" fontId="39" fillId="0" borderId="0" xfId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9" fillId="0" borderId="2" xfId="2" applyFont="1" applyBorder="1" applyAlignment="1">
      <alignment horizontal="left" vertical="center" wrapText="1"/>
    </xf>
    <xf numFmtId="164" fontId="39" fillId="0" borderId="49" xfId="1" applyFont="1" applyBorder="1" applyAlignment="1">
      <alignment horizontal="left" vertical="center" wrapText="1"/>
    </xf>
    <xf numFmtId="2" fontId="18" fillId="2" borderId="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textRotation="90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26" fillId="0" borderId="0" xfId="0" applyFont="1" applyAlignment="1">
      <alignment horizontal="center"/>
    </xf>
  </cellXfs>
  <cellStyles count="13">
    <cellStyle name="Comma 2" xfId="8" xr:uid="{00000000-0005-0000-0000-000000000000}"/>
    <cellStyle name="Comma 3" xfId="9" xr:uid="{00000000-0005-0000-0000-000001000000}"/>
    <cellStyle name="Euro" xfId="10" xr:uid="{00000000-0005-0000-0000-000002000000}"/>
    <cellStyle name="EY House" xfId="11" xr:uid="{00000000-0005-0000-0000-000003000000}"/>
    <cellStyle name="Millares" xfId="1" builtinId="3"/>
    <cellStyle name="Normal" xfId="0" builtinId="0"/>
    <cellStyle name="Normal 2" xfId="4" xr:uid="{00000000-0005-0000-0000-000006000000}"/>
    <cellStyle name="Normal 2 2" xfId="2" xr:uid="{00000000-0005-0000-0000-000007000000}"/>
    <cellStyle name="Normal 21" xfId="7" xr:uid="{00000000-0005-0000-0000-000008000000}"/>
    <cellStyle name="Normal 3" xfId="12" xr:uid="{00000000-0005-0000-0000-000009000000}"/>
    <cellStyle name="Normal 4" xfId="5" xr:uid="{00000000-0005-0000-0000-00000A000000}"/>
    <cellStyle name="Normal 5" xfId="6" xr:uid="{00000000-0005-0000-0000-00000B000000}"/>
    <cellStyle name="Porcentaje" xfId="3" builtinId="5"/>
  </cellStyles>
  <dxfs count="17"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F26D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F26D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F26D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2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787883</xdr:colOff>
      <xdr:row>10</xdr:row>
      <xdr:rowOff>148070</xdr:rowOff>
    </xdr:from>
    <xdr:to>
      <xdr:col>3</xdr:col>
      <xdr:colOff>276225</xdr:colOff>
      <xdr:row>14</xdr:row>
      <xdr:rowOff>205220</xdr:rowOff>
    </xdr:to>
    <xdr:sp macro="" textlink="">
      <xdr:nvSpPr>
        <xdr:cNvPr id="2" name="AutoShap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987908" y="2300720"/>
          <a:ext cx="2155342" cy="971550"/>
        </a:xfrm>
        <a:prstGeom prst="chevron">
          <a:avLst>
            <a:gd name="adj" fmla="val 38345"/>
          </a:avLst>
        </a:prstGeom>
        <a:solidFill>
          <a:schemeClr val="bg2">
            <a:lumMod val="90000"/>
          </a:schemeClr>
        </a:solidFill>
        <a:ln w="19050">
          <a:solidFill>
            <a:schemeClr val="bg1">
              <a:lumMod val="50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36000" tIns="45720" rIns="0" bIns="45720" anchor="ctr" anchorCtr="0" upright="1"/>
        <a:lstStyle/>
        <a:p>
          <a:pPr marL="0" indent="0" algn="l" rtl="0">
            <a:defRPr sz="1000"/>
          </a:pPr>
          <a:r>
            <a:rPr lang="en-US" sz="1050" b="0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Gestión de Alertas</a:t>
          </a:r>
        </a:p>
      </xdr:txBody>
    </xdr:sp>
    <xdr:clientData/>
  </xdr:twoCellAnchor>
  <xdr:twoCellAnchor>
    <xdr:from>
      <xdr:col>1</xdr:col>
      <xdr:colOff>561596</xdr:colOff>
      <xdr:row>16</xdr:row>
      <xdr:rowOff>26555</xdr:rowOff>
    </xdr:from>
    <xdr:to>
      <xdr:col>3</xdr:col>
      <xdr:colOff>240911</xdr:colOff>
      <xdr:row>24</xdr:row>
      <xdr:rowOff>210415</xdr:rowOff>
    </xdr:to>
    <xdr:grpSp>
      <xdr:nvGrpSpPr>
        <xdr:cNvPr id="3" name="Group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767336" y="3531755"/>
          <a:ext cx="2422515" cy="3048980"/>
          <a:chOff x="714374" y="4737100"/>
          <a:chExt cx="1371601" cy="1457653"/>
        </a:xfrm>
      </xdr:grpSpPr>
      <xdr:sp macro="" textlink="">
        <xdr:nvSpPr>
          <xdr:cNvPr id="4" name="Rectangle 47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714374" y="4737100"/>
            <a:ext cx="1371601" cy="1457653"/>
          </a:xfrm>
          <a:prstGeom prst="rect">
            <a:avLst/>
          </a:prstGeom>
          <a:solidFill>
            <a:srgbClr val="DDDDDD"/>
          </a:solidFill>
          <a:ln w="9525">
            <a:solidFill>
              <a:srgbClr val="000066"/>
            </a:solidFill>
            <a:miter lim="800000"/>
            <a:headEnd/>
            <a:tailEnd/>
          </a:ln>
          <a:effectLst/>
        </xdr:spPr>
        <xdr:txBody>
          <a:bodyPr vertOverflow="clip" wrap="square" lIns="36000" tIns="10800" rIns="36000" bIns="10800" anchor="t" upright="1"/>
          <a:lstStyle/>
          <a:p>
            <a:pPr algn="l" rtl="0">
              <a:defRPr sz="1000"/>
            </a:pPr>
            <a:endParaRPr lang="en-US" sz="900" b="0" i="0" u="none" strike="noStrike" baseline="0">
              <a:solidFill>
                <a:srgbClr val="000080"/>
              </a:solidFill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" name="TextBox 9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774700" y="4761214"/>
            <a:ext cx="1263650" cy="13833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Inicio: </a:t>
            </a:r>
            <a:endParaRPr kumimoji="0" lang="es-PE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Registro de datos de clientes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Fin: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Reporte de Operaciones Sospechosas e Inusuales</a:t>
            </a:r>
          </a:p>
          <a:p>
            <a:endParaRPr lang="es-PE" sz="10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409575</xdr:colOff>
      <xdr:row>10</xdr:row>
      <xdr:rowOff>193964</xdr:rowOff>
    </xdr:from>
    <xdr:to>
      <xdr:col>5</xdr:col>
      <xdr:colOff>1057275</xdr:colOff>
      <xdr:row>15</xdr:row>
      <xdr:rowOff>22514</xdr:rowOff>
    </xdr:to>
    <xdr:sp macro="" textlink="">
      <xdr:nvSpPr>
        <xdr:cNvPr id="6" name="AutoShape 4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3276600" y="2346614"/>
          <a:ext cx="2343150" cy="971550"/>
        </a:xfrm>
        <a:prstGeom prst="chevron">
          <a:avLst>
            <a:gd name="adj" fmla="val 38345"/>
          </a:avLst>
        </a:prstGeom>
        <a:solidFill>
          <a:schemeClr val="bg2">
            <a:lumMod val="90000"/>
          </a:schemeClr>
        </a:solidFill>
        <a:ln w="19050">
          <a:solidFill>
            <a:schemeClr val="bg1">
              <a:lumMod val="50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36000" tIns="45720" rIns="0" bIns="45720" anchor="ctr" anchorCtr="0" upright="1"/>
        <a:lstStyle/>
        <a:p>
          <a:pPr marL="0" indent="0" algn="l" rtl="0">
            <a:defRPr sz="1000"/>
          </a:pPr>
          <a:r>
            <a:rPr lang="en-US" sz="1050" b="0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Reportes Regulatorios</a:t>
          </a:r>
        </a:p>
      </xdr:txBody>
    </xdr:sp>
    <xdr:clientData/>
  </xdr:twoCellAnchor>
  <xdr:twoCellAnchor editAs="oneCell">
    <xdr:from>
      <xdr:col>0</xdr:col>
      <xdr:colOff>183357</xdr:colOff>
      <xdr:row>0</xdr:row>
      <xdr:rowOff>157163</xdr:rowOff>
    </xdr:from>
    <xdr:to>
      <xdr:col>1</xdr:col>
      <xdr:colOff>1314450</xdr:colOff>
      <xdr:row>2</xdr:row>
      <xdr:rowOff>85725</xdr:rowOff>
    </xdr:to>
    <xdr:pic>
      <xdr:nvPicPr>
        <xdr:cNvPr id="11" name="10 Imagen" descr="Recorte de pantalla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2" r="6086"/>
        <a:stretch/>
      </xdr:blipFill>
      <xdr:spPr>
        <a:xfrm>
          <a:off x="183357" y="157163"/>
          <a:ext cx="1331118" cy="385762"/>
        </a:xfrm>
        <a:prstGeom prst="rect">
          <a:avLst/>
        </a:prstGeom>
      </xdr:spPr>
    </xdr:pic>
    <xdr:clientData/>
  </xdr:twoCellAnchor>
  <xdr:twoCellAnchor>
    <xdr:from>
      <xdr:col>3</xdr:col>
      <xdr:colOff>409575</xdr:colOff>
      <xdr:row>16</xdr:row>
      <xdr:rowOff>38100</xdr:rowOff>
    </xdr:from>
    <xdr:to>
      <xdr:col>5</xdr:col>
      <xdr:colOff>1060440</xdr:colOff>
      <xdr:row>24</xdr:row>
      <xdr:rowOff>221960</xdr:rowOff>
    </xdr:to>
    <xdr:grpSp>
      <xdr:nvGrpSpPr>
        <xdr:cNvPr id="12" name="Group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358515" y="3543300"/>
          <a:ext cx="2395845" cy="3048980"/>
          <a:chOff x="714374" y="4737100"/>
          <a:chExt cx="1371601" cy="1457653"/>
        </a:xfrm>
      </xdr:grpSpPr>
      <xdr:sp macro="" textlink="">
        <xdr:nvSpPr>
          <xdr:cNvPr id="13" name="Rectangle 4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714374" y="4737100"/>
            <a:ext cx="1371601" cy="1457653"/>
          </a:xfrm>
          <a:prstGeom prst="rect">
            <a:avLst/>
          </a:prstGeom>
          <a:solidFill>
            <a:srgbClr val="DDDDDD"/>
          </a:solidFill>
          <a:ln w="9525">
            <a:solidFill>
              <a:srgbClr val="000066"/>
            </a:solidFill>
            <a:miter lim="800000"/>
            <a:headEnd/>
            <a:tailEnd/>
          </a:ln>
          <a:effectLst/>
        </xdr:spPr>
        <xdr:txBody>
          <a:bodyPr vertOverflow="clip" wrap="square" lIns="36000" tIns="10800" rIns="36000" bIns="10800" anchor="t" upright="1"/>
          <a:lstStyle/>
          <a:p>
            <a:pPr algn="l" rtl="0">
              <a:defRPr sz="1000"/>
            </a:pPr>
            <a:endParaRPr lang="en-US" sz="900" b="0" i="0" u="none" strike="noStrike" baseline="0">
              <a:solidFill>
                <a:srgbClr val="000080"/>
              </a:solidFill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4" name="TextBox 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774700" y="4761214"/>
            <a:ext cx="1263650" cy="13833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Inicio: </a:t>
            </a:r>
            <a:endParaRPr kumimoji="0" lang="es-PE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Registro de datos de clientes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Fin: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Envio por SUCAVE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Reporte de Operacione s uNICAS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Reporte de Operaciones Multiples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Reporte de Operaciones en Efectivo</a:t>
            </a:r>
          </a:p>
          <a:p>
            <a:endParaRPr lang="es-PE" sz="10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</xdr:col>
      <xdr:colOff>1181100</xdr:colOff>
      <xdr:row>10</xdr:row>
      <xdr:rowOff>190500</xdr:rowOff>
    </xdr:from>
    <xdr:to>
      <xdr:col>7</xdr:col>
      <xdr:colOff>857250</xdr:colOff>
      <xdr:row>15</xdr:row>
      <xdr:rowOff>19050</xdr:rowOff>
    </xdr:to>
    <xdr:sp macro="" textlink="">
      <xdr:nvSpPr>
        <xdr:cNvPr id="15" name="AutoShape 4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5743575" y="2343150"/>
          <a:ext cx="2343150" cy="971550"/>
        </a:xfrm>
        <a:prstGeom prst="chevron">
          <a:avLst>
            <a:gd name="adj" fmla="val 38345"/>
          </a:avLst>
        </a:prstGeom>
        <a:solidFill>
          <a:schemeClr val="bg2">
            <a:lumMod val="90000"/>
          </a:schemeClr>
        </a:solidFill>
        <a:ln w="19050">
          <a:solidFill>
            <a:schemeClr val="bg1">
              <a:lumMod val="50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36000" tIns="45720" rIns="0" bIns="45720" anchor="ctr" anchorCtr="0" upright="1"/>
        <a:lstStyle/>
        <a:p>
          <a:pPr marL="0" indent="0" algn="l" rtl="0">
            <a:defRPr sz="1000"/>
          </a:pPr>
          <a:r>
            <a:rPr lang="en-US" sz="1050" b="0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Gestión de Listas Negativas</a:t>
          </a:r>
        </a:p>
      </xdr:txBody>
    </xdr:sp>
    <xdr:clientData/>
  </xdr:twoCellAnchor>
  <xdr:twoCellAnchor>
    <xdr:from>
      <xdr:col>5</xdr:col>
      <xdr:colOff>1266825</xdr:colOff>
      <xdr:row>16</xdr:row>
      <xdr:rowOff>28575</xdr:rowOff>
    </xdr:from>
    <xdr:to>
      <xdr:col>7</xdr:col>
      <xdr:colOff>946140</xdr:colOff>
      <xdr:row>24</xdr:row>
      <xdr:rowOff>212435</xdr:rowOff>
    </xdr:to>
    <xdr:grpSp>
      <xdr:nvGrpSpPr>
        <xdr:cNvPr id="16" name="Group 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5960745" y="3533775"/>
          <a:ext cx="2422515" cy="3048980"/>
          <a:chOff x="714374" y="4737100"/>
          <a:chExt cx="1371601" cy="1457653"/>
        </a:xfrm>
      </xdr:grpSpPr>
      <xdr:sp macro="" textlink="">
        <xdr:nvSpPr>
          <xdr:cNvPr id="17" name="Rectangle 4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14374" y="4737100"/>
            <a:ext cx="1371601" cy="1457653"/>
          </a:xfrm>
          <a:prstGeom prst="rect">
            <a:avLst/>
          </a:prstGeom>
          <a:solidFill>
            <a:srgbClr val="DDDDDD"/>
          </a:solidFill>
          <a:ln w="9525">
            <a:solidFill>
              <a:srgbClr val="000066"/>
            </a:solidFill>
            <a:miter lim="800000"/>
            <a:headEnd/>
            <a:tailEnd/>
          </a:ln>
          <a:effectLst/>
        </xdr:spPr>
        <xdr:txBody>
          <a:bodyPr vertOverflow="clip" wrap="square" lIns="36000" tIns="10800" rIns="36000" bIns="10800" anchor="t" upright="1"/>
          <a:lstStyle/>
          <a:p>
            <a:pPr algn="l" rtl="0">
              <a:defRPr sz="1000"/>
            </a:pPr>
            <a:endParaRPr lang="en-US" sz="900" b="0" i="0" u="none" strike="noStrike" baseline="0">
              <a:solidFill>
                <a:srgbClr val="000080"/>
              </a:solidFill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8" name="TextBox 9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774700" y="4761214"/>
            <a:ext cx="1263650" cy="13833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Inicio: </a:t>
            </a:r>
            <a:endParaRPr kumimoji="0" lang="es-PE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Solicitud de Funcionarios para aprobación de operaciones de clientes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Fin: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PE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Registro de aprobación de operación</a:t>
            </a:r>
          </a:p>
          <a:p>
            <a:endParaRPr lang="es-PE" sz="10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6</xdr:col>
      <xdr:colOff>670214</xdr:colOff>
      <xdr:row>2</xdr:row>
      <xdr:rowOff>40360</xdr:rowOff>
    </xdr:to>
    <xdr:pic>
      <xdr:nvPicPr>
        <xdr:cNvPr id="2" name="1 Imagen" descr="Recorte de pantall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2" r="6086"/>
        <a:stretch/>
      </xdr:blipFill>
      <xdr:spPr>
        <a:xfrm>
          <a:off x="57150" y="38100"/>
          <a:ext cx="1302328" cy="3096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43791391\Desktop\New%20Folder\2017\BASE%20DE%20DATOS\BASE%20DE%20DATOS_CONSOLIDADO-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sbcp/Documents%20and%20Settings/u15727/Local%20Settings/Temp/Matriz%20de%20Riesgos%20y%20Controles_RRH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nformaci&#243;n%20Temporal\RO_Talleres\Modelo%20_Definici&#243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RIESGO%20OPERACIONAL\2018\05.%20NUEVOS%20PDTOS%20Y%20CAMBIOS%20IMPORTANTES\00.%20FORMATOS\Modelo%20_Defini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4"/>
      <sheetName val="Hoja3"/>
      <sheetName val="Base de Eventos de pérdida"/>
      <sheetName val="CC Áreas"/>
      <sheetName val="TABLAS"/>
      <sheetName val="Reporte COLOMBIA"/>
      <sheetName val="CARACTERIZACION"/>
      <sheetName val="Gráficos Pérdidas "/>
      <sheetName val="EVENTOS REGISTRADOS"/>
      <sheetName val="Hoja2"/>
      <sheetName val="SARO-EVENTOS"/>
      <sheetName val="PÉRDIDA POR PRODUCTO"/>
      <sheetName val="Parámetros"/>
    </sheetNames>
    <sheetDataSet>
      <sheetData sheetId="0"/>
      <sheetData sheetId="1"/>
      <sheetData sheetId="2"/>
      <sheetData sheetId="3">
        <row r="32">
          <cell r="N32" t="str">
            <v>Banca minorista</v>
          </cell>
        </row>
      </sheetData>
      <sheetData sheetId="4"/>
      <sheetData sheetId="5">
        <row r="3">
          <cell r="H3" t="str">
            <v>Fraude Interno</v>
          </cell>
          <cell r="I3">
            <v>1</v>
          </cell>
          <cell r="K3" t="str">
            <v>Fallas en el diseño del proceso</v>
          </cell>
          <cell r="L3">
            <v>26</v>
          </cell>
        </row>
        <row r="4">
          <cell r="H4" t="str">
            <v>Fraude Externo</v>
          </cell>
          <cell r="I4">
            <v>2</v>
          </cell>
          <cell r="K4" t="str">
            <v>Fallas por errores no intencionados de funcionarios</v>
          </cell>
          <cell r="L4">
            <v>27</v>
          </cell>
        </row>
        <row r="5">
          <cell r="H5" t="str">
            <v>Relaciones laborales y seguridad en el puesto de trabajo</v>
          </cell>
          <cell r="I5">
            <v>3</v>
          </cell>
          <cell r="K5" t="str">
            <v>Multas, Sanciones, Sobrecargos</v>
          </cell>
          <cell r="L5">
            <v>28</v>
          </cell>
        </row>
        <row r="6">
          <cell r="H6" t="str">
            <v>Clientes, productos y prácticas empresariales</v>
          </cell>
          <cell r="I6">
            <v>4</v>
          </cell>
          <cell r="K6" t="str">
            <v>Fallas por errores causados por clientes</v>
          </cell>
          <cell r="L6">
            <v>29</v>
          </cell>
        </row>
        <row r="7">
          <cell r="H7" t="str">
            <v>Daños a activos materiales</v>
          </cell>
          <cell r="I7">
            <v>5</v>
          </cell>
          <cell r="K7" t="str">
            <v>Fallas de Software</v>
          </cell>
          <cell r="L7">
            <v>21</v>
          </cell>
        </row>
        <row r="8">
          <cell r="H8" t="str">
            <v>Interrupción del negocio y fallos en los sistemas</v>
          </cell>
          <cell r="I8">
            <v>6</v>
          </cell>
          <cell r="K8" t="str">
            <v>Fallas de Hardware</v>
          </cell>
          <cell r="L8">
            <v>22</v>
          </cell>
        </row>
        <row r="9">
          <cell r="H9" t="str">
            <v>Ejecución, entrega y gestión de procesos</v>
          </cell>
          <cell r="I9">
            <v>7</v>
          </cell>
          <cell r="K9" t="str">
            <v>Fallas en Comunicaciones</v>
          </cell>
          <cell r="L9">
            <v>23</v>
          </cell>
        </row>
        <row r="10">
          <cell r="K10" t="str">
            <v>Fallas por virus informáticos o hackers</v>
          </cell>
          <cell r="L10">
            <v>24</v>
          </cell>
        </row>
        <row r="11">
          <cell r="K11" t="str">
            <v>Fallas en Parametrización</v>
          </cell>
          <cell r="L11">
            <v>25</v>
          </cell>
        </row>
        <row r="12">
          <cell r="H12" t="str">
            <v>Actividades no autorizadas</v>
          </cell>
          <cell r="I12">
            <v>1</v>
          </cell>
          <cell r="K12" t="str">
            <v>Desvio de Fondos o Activos</v>
          </cell>
          <cell r="L12">
            <v>1</v>
          </cell>
        </row>
        <row r="13">
          <cell r="H13" t="str">
            <v>Robo y fraude</v>
          </cell>
          <cell r="I13">
            <v>2</v>
          </cell>
          <cell r="K13" t="str">
            <v>Operaciones no reveladas con fines ilicitos</v>
          </cell>
          <cell r="L13">
            <v>2</v>
          </cell>
        </row>
        <row r="14">
          <cell r="H14" t="str">
            <v>Robo y fraude.</v>
          </cell>
          <cell r="I14">
            <v>3</v>
          </cell>
          <cell r="K14" t="str">
            <v>Falsificación de información, Suplantación de clientes</v>
          </cell>
          <cell r="L14">
            <v>3</v>
          </cell>
        </row>
        <row r="15">
          <cell r="H15" t="str">
            <v>Seguridad de los sistemas</v>
          </cell>
          <cell r="I15">
            <v>4</v>
          </cell>
          <cell r="K15" t="str">
            <v>Uso de información privilegiada de clientes con fines ilicitos</v>
          </cell>
          <cell r="L15">
            <v>4</v>
          </cell>
        </row>
        <row r="16">
          <cell r="H16" t="str">
            <v>Relaciones laborales</v>
          </cell>
          <cell r="I16">
            <v>5</v>
          </cell>
          <cell r="K16" t="str">
            <v>Pagos no aplicados o inconsistencias reportadas</v>
          </cell>
          <cell r="L16">
            <v>12</v>
          </cell>
        </row>
        <row r="17">
          <cell r="H17" t="str">
            <v>Higiene y seguridad en el trabajo</v>
          </cell>
          <cell r="I17">
            <v>6</v>
          </cell>
          <cell r="K17" t="str">
            <v>Errores o demoras en la informacion suministrada</v>
          </cell>
          <cell r="L17">
            <v>13</v>
          </cell>
        </row>
        <row r="18">
          <cell r="H18" t="str">
            <v>Diversidad y discriminación</v>
          </cell>
          <cell r="I18">
            <v>7</v>
          </cell>
          <cell r="K18" t="str">
            <v>Sanciones o sentencias a favor del cliente</v>
          </cell>
          <cell r="L18">
            <v>14</v>
          </cell>
        </row>
        <row r="19">
          <cell r="H19" t="str">
            <v>Adecuación, divulgación de información y confianza</v>
          </cell>
          <cell r="I19">
            <v>8</v>
          </cell>
          <cell r="K19" t="str">
            <v>Ejecución errada de Ordenes</v>
          </cell>
          <cell r="L19">
            <v>15</v>
          </cell>
        </row>
        <row r="20">
          <cell r="H20" t="str">
            <v>Prácticas empresariales o de mercado improcedentes</v>
          </cell>
          <cell r="I20">
            <v>9</v>
          </cell>
          <cell r="K20" t="str">
            <v>Liquidaciones erroneas en productos</v>
          </cell>
          <cell r="L20">
            <v>16</v>
          </cell>
        </row>
        <row r="21">
          <cell r="H21" t="str">
            <v>Productos defectuosos</v>
          </cell>
          <cell r="I21">
            <v>10</v>
          </cell>
          <cell r="K21" t="str">
            <v>Duplicidad en los cargos por fallas en terceros</v>
          </cell>
          <cell r="L21">
            <v>17</v>
          </cell>
        </row>
        <row r="22">
          <cell r="H22" t="str">
            <v>Selección, patrocinio y riesgos</v>
          </cell>
          <cell r="I22">
            <v>11</v>
          </cell>
          <cell r="K22" t="str">
            <v>Daños o eventos causados por Vandalismo</v>
          </cell>
          <cell r="L22">
            <v>18</v>
          </cell>
        </row>
        <row r="23">
          <cell r="H23" t="str">
            <v>Actividades de asesoramiento</v>
          </cell>
          <cell r="I23">
            <v>12</v>
          </cell>
          <cell r="K23" t="str">
            <v>Daños o eventos causados  por eventos externos</v>
          </cell>
          <cell r="L23">
            <v>19</v>
          </cell>
        </row>
        <row r="24">
          <cell r="H24" t="str">
            <v>Desastres y otros acontecimientos</v>
          </cell>
          <cell r="I24">
            <v>13</v>
          </cell>
          <cell r="K24" t="str">
            <v>Daños o eventos causados  por daños internos</v>
          </cell>
          <cell r="L24">
            <v>20</v>
          </cell>
        </row>
        <row r="25">
          <cell r="H25" t="str">
            <v>Sistemas</v>
          </cell>
          <cell r="I25">
            <v>14</v>
          </cell>
          <cell r="K25" t="str">
            <v>Falsificación y/o Suplantación</v>
          </cell>
          <cell r="L25">
            <v>5</v>
          </cell>
        </row>
        <row r="26">
          <cell r="H26" t="str">
            <v>Recepción, ejecución y mantenimiento de operaciones</v>
          </cell>
          <cell r="I26">
            <v>15</v>
          </cell>
          <cell r="K26" t="str">
            <v>Robo de Información</v>
          </cell>
          <cell r="L26">
            <v>6</v>
          </cell>
        </row>
        <row r="27">
          <cell r="H27" t="str">
            <v>Seguimiento y presentación de informes</v>
          </cell>
          <cell r="I27">
            <v>16</v>
          </cell>
          <cell r="K27" t="str">
            <v>Fraudes con Tarjetas</v>
          </cell>
          <cell r="L27">
            <v>7</v>
          </cell>
        </row>
        <row r="28">
          <cell r="H28" t="str">
            <v>Aceptación de clientes y documentación</v>
          </cell>
          <cell r="I28">
            <v>17</v>
          </cell>
          <cell r="K28" t="str">
            <v>Hurto, Desfalco, Malversación</v>
          </cell>
          <cell r="L28">
            <v>8</v>
          </cell>
        </row>
        <row r="29">
          <cell r="H29" t="str">
            <v>Gestión de cuentas de clientes</v>
          </cell>
          <cell r="I29">
            <v>18</v>
          </cell>
          <cell r="K29" t="str">
            <v>Procesos jurídicos con  exempleados</v>
          </cell>
          <cell r="L29">
            <v>9</v>
          </cell>
        </row>
        <row r="30">
          <cell r="H30" t="str">
            <v>Contrapartes comerciales</v>
          </cell>
          <cell r="I30">
            <v>19</v>
          </cell>
          <cell r="K30" t="str">
            <v>Accidentes Laborales</v>
          </cell>
          <cell r="L30">
            <v>10</v>
          </cell>
        </row>
        <row r="31">
          <cell r="H31" t="str">
            <v>Distribuidores y proveedores</v>
          </cell>
          <cell r="I31">
            <v>20</v>
          </cell>
          <cell r="K31" t="str">
            <v>Multas y sanciones e indemnizaciones</v>
          </cell>
          <cell r="L31">
            <v>11</v>
          </cell>
        </row>
      </sheetData>
      <sheetData sheetId="6"/>
      <sheetData sheetId="7">
        <row r="3">
          <cell r="F3" t="str">
            <v>Canales electrónicos_BM</v>
          </cell>
          <cell r="H3" t="str">
            <v>Banca minorista</v>
          </cell>
          <cell r="I3" t="str">
            <v>Banca minorista</v>
          </cell>
        </row>
        <row r="4">
          <cell r="F4" t="str">
            <v>Canales electrónicos_BC</v>
          </cell>
          <cell r="H4" t="str">
            <v>Banca comercial</v>
          </cell>
          <cell r="I4" t="str">
            <v>Banca comercial</v>
          </cell>
        </row>
        <row r="5">
          <cell r="H5" t="str">
            <v>Finanzas corporativas</v>
          </cell>
          <cell r="I5" t="str">
            <v>Finanzas corporativas</v>
          </cell>
          <cell r="J5" t="str">
            <v>Emisión de valores representativos de capital</v>
          </cell>
          <cell r="K5" t="str">
            <v>Emisión de acciones</v>
          </cell>
        </row>
        <row r="6">
          <cell r="F6" t="str">
            <v>Emisión de Bonos</v>
          </cell>
          <cell r="G6" t="str">
            <v>Finanzas corporativas-Emisión de valores representativos de capital-Emisión de Bonos</v>
          </cell>
          <cell r="H6" t="str">
            <v>Finanzas corporativas</v>
          </cell>
          <cell r="I6" t="str">
            <v>Finanzas de administraciones públicas</v>
          </cell>
          <cell r="J6" t="str">
            <v>Emisión de valores representativos de capital</v>
          </cell>
          <cell r="K6" t="str">
            <v>Emisión de bonos</v>
          </cell>
        </row>
        <row r="7">
          <cell r="H7" t="str">
            <v>Finanzas corporativas</v>
          </cell>
          <cell r="I7" t="str">
            <v>Banca de inversión</v>
          </cell>
          <cell r="J7" t="str">
            <v>Emisión de valores representativos de capital</v>
          </cell>
          <cell r="K7" t="str">
            <v>Emisión de productos estructurados</v>
          </cell>
        </row>
        <row r="8">
          <cell r="H8" t="str">
            <v>Finanzas corporativas</v>
          </cell>
          <cell r="I8" t="str">
            <v>Banca de inversión</v>
          </cell>
          <cell r="J8" t="str">
            <v>Emisión de valores representativos de capital</v>
          </cell>
          <cell r="K8" t="str">
            <v>Titulización de activos</v>
          </cell>
        </row>
        <row r="9">
          <cell r="H9" t="str">
            <v>Finanzas corporativas</v>
          </cell>
          <cell r="I9" t="str">
            <v>Banca de inversión</v>
          </cell>
          <cell r="J9" t="str">
            <v>Emisión de valores representativos de capital</v>
          </cell>
          <cell r="K9" t="str">
            <v>Oferta Privada</v>
          </cell>
        </row>
        <row r="10">
          <cell r="H10" t="str">
            <v>Finanzas corporativas</v>
          </cell>
          <cell r="I10" t="str">
            <v>Banca de inversión</v>
          </cell>
          <cell r="J10" t="str">
            <v>Emisión de valores representativos de capital</v>
          </cell>
          <cell r="K10" t="str">
            <v>Financiamiento sindicado</v>
          </cell>
        </row>
        <row r="11">
          <cell r="H11" t="str">
            <v>Finanzas corporativas</v>
          </cell>
          <cell r="I11" t="str">
            <v>Servicios de asesoramiento</v>
          </cell>
          <cell r="J11" t="str">
            <v>Servicios financieros corporativos</v>
          </cell>
          <cell r="K11" t="str">
            <v>Fusión y adquisición</v>
          </cell>
        </row>
        <row r="12">
          <cell r="H12" t="str">
            <v>Finanzas corporativas</v>
          </cell>
          <cell r="I12" t="str">
            <v>Servicios de asesoramiento</v>
          </cell>
          <cell r="J12" t="str">
            <v>Servicios financieros corporativos</v>
          </cell>
          <cell r="K12" t="str">
            <v>Servicios de asesoría corporativa</v>
          </cell>
        </row>
        <row r="13">
          <cell r="G13" t="str">
            <v>Negociación y ventas-Derivados e Instrumentos negociables-</v>
          </cell>
          <cell r="H13" t="str">
            <v>Negociación y ventas</v>
          </cell>
          <cell r="I13" t="str">
            <v>Ventas</v>
          </cell>
          <cell r="J13" t="str">
            <v>Derivados e Instrumentos negociables</v>
          </cell>
          <cell r="K13" t="str">
            <v>Renta Fija</v>
          </cell>
        </row>
        <row r="14">
          <cell r="H14" t="str">
            <v>Negociación y ventas</v>
          </cell>
          <cell r="I14" t="str">
            <v>Creación de mercado</v>
          </cell>
          <cell r="J14" t="str">
            <v>Derivados e Instrumentos negociables</v>
          </cell>
          <cell r="K14" t="str">
            <v>Renta variable (acciones)</v>
          </cell>
        </row>
        <row r="15">
          <cell r="F15" t="str">
            <v>Mesa de Dinero-Creadores de Mercado</v>
          </cell>
          <cell r="G15" t="str">
            <v>Negociación y ventas-Derivados e Instrumentos negociables-Mesa de Dinero-Creadores de Mercado</v>
          </cell>
          <cell r="H15" t="str">
            <v>Negociación y ventas</v>
          </cell>
          <cell r="I15" t="str">
            <v>Posiciones propias</v>
          </cell>
          <cell r="J15" t="str">
            <v>Derivados e Instrumentos negociables</v>
          </cell>
          <cell r="K15" t="str">
            <v>Moneda extranjera e instrumentos del mercado monetario</v>
          </cell>
        </row>
        <row r="16">
          <cell r="H16" t="str">
            <v>Negociación y ventas</v>
          </cell>
          <cell r="I16" t="str">
            <v>Tesorería</v>
          </cell>
          <cell r="J16" t="str">
            <v>Derivados e Instrumentos negociables</v>
          </cell>
          <cell r="K16" t="str">
            <v>Repos</v>
          </cell>
        </row>
        <row r="17">
          <cell r="H17" t="str">
            <v>Negociación y ventas</v>
          </cell>
          <cell r="I17" t="str">
            <v>Tesorería</v>
          </cell>
          <cell r="J17" t="str">
            <v>Derivados e Instrumentos negociables</v>
          </cell>
          <cell r="K17" t="str">
            <v>OTC y Títulos derivados de tasa de interés</v>
          </cell>
        </row>
        <row r="18">
          <cell r="H18" t="str">
            <v>Negociación y ventas</v>
          </cell>
          <cell r="I18" t="str">
            <v>Tesorería</v>
          </cell>
          <cell r="J18" t="str">
            <v>Derivados e Instrumentos negociables</v>
          </cell>
          <cell r="K18" t="str">
            <v>OTC y derivados crediticios</v>
          </cell>
        </row>
        <row r="19">
          <cell r="F19" t="str">
            <v>Mesa Corporativa-Clientes Sector Real</v>
          </cell>
          <cell r="G19" t="str">
            <v>Negociación y ventas-Derivados e Instrumentos negociables-Mesa Corporativa-Clientes Sector Real</v>
          </cell>
          <cell r="H19" t="str">
            <v>Negociación y ventas</v>
          </cell>
          <cell r="I19" t="str">
            <v>Tesorería</v>
          </cell>
          <cell r="J19" t="str">
            <v>Derivados e Instrumentos negociables</v>
          </cell>
          <cell r="K19" t="str">
            <v>OTC y derivados de tipo de cambio / moneda extranjera</v>
          </cell>
        </row>
        <row r="20">
          <cell r="H20" t="str">
            <v>Negociación y ventas</v>
          </cell>
          <cell r="I20" t="str">
            <v>Tesorería</v>
          </cell>
          <cell r="J20" t="str">
            <v>Derivados e Instrumentos negociables</v>
          </cell>
          <cell r="K20" t="str">
            <v>OTC y derivados de renta variable</v>
          </cell>
        </row>
        <row r="21">
          <cell r="H21" t="str">
            <v>Negociación y ventas</v>
          </cell>
          <cell r="I21" t="str">
            <v>Tesorería</v>
          </cell>
          <cell r="J21" t="str">
            <v>Derivados e Instrumentos negociables</v>
          </cell>
          <cell r="K21" t="str">
            <v>OTC y derivados de commodities</v>
          </cell>
        </row>
        <row r="22">
          <cell r="H22" t="str">
            <v>Negociación y ventas</v>
          </cell>
          <cell r="I22" t="str">
            <v>Tesorería</v>
          </cell>
          <cell r="J22" t="str">
            <v>Derivados e Instrumentos negociables</v>
          </cell>
          <cell r="K22" t="str">
            <v>Otros OTC e instrumentos derivados</v>
          </cell>
        </row>
        <row r="23">
          <cell r="F23" t="str">
            <v>Cartera de Créditos- Banca Minorista_Hipotecario</v>
          </cell>
          <cell r="G23" t="str">
            <v>Banca minorista-Crédito minorista hipotecario-Cartera de Créditos- Banca Minorista_Hipotecario</v>
          </cell>
          <cell r="H23" t="str">
            <v>Banca minorista</v>
          </cell>
          <cell r="I23" t="str">
            <v>Banca minorista</v>
          </cell>
          <cell r="J23" t="str">
            <v>Crédito minorista hipotecario</v>
          </cell>
          <cell r="K23" t="str">
            <v>Préstamos</v>
          </cell>
        </row>
        <row r="24">
          <cell r="H24" t="str">
            <v>Banca minorista</v>
          </cell>
          <cell r="I24" t="str">
            <v>Banca minorista</v>
          </cell>
          <cell r="J24" t="str">
            <v>Crédito minorista hipotecario</v>
          </cell>
          <cell r="K24" t="str">
            <v>Mivivienda</v>
          </cell>
        </row>
        <row r="25">
          <cell r="H25" t="str">
            <v>Banca minorista</v>
          </cell>
          <cell r="I25" t="str">
            <v>Banca minorista</v>
          </cell>
          <cell r="J25" t="str">
            <v>Crédito minorista hipotecario</v>
          </cell>
          <cell r="K25" t="str">
            <v>Capitalización inmobiliaria</v>
          </cell>
        </row>
        <row r="26">
          <cell r="H26" t="str">
            <v>Banca minorista</v>
          </cell>
          <cell r="I26" t="str">
            <v>Banca minorista</v>
          </cell>
          <cell r="J26" t="str">
            <v>Crédito minorista hipotecario</v>
          </cell>
          <cell r="K26" t="str">
            <v>Otros créditos hipotecarios</v>
          </cell>
        </row>
        <row r="27">
          <cell r="H27" t="str">
            <v>Banca minorista</v>
          </cell>
          <cell r="I27" t="str">
            <v>Banca minorista</v>
          </cell>
          <cell r="J27" t="str">
            <v>Crédito minorista de consumo</v>
          </cell>
          <cell r="K27" t="str">
            <v>Avances en cuenta corriente</v>
          </cell>
        </row>
        <row r="28">
          <cell r="F28" t="str">
            <v>Tarjetas de Crédito</v>
          </cell>
          <cell r="G28" t="str">
            <v>Banca minorista-Crédito minorista de consumo-Tarjetas de Crédito</v>
          </cell>
          <cell r="H28" t="str">
            <v>Banca minorista</v>
          </cell>
          <cell r="I28" t="str">
            <v>Banca minorista</v>
          </cell>
          <cell r="J28" t="str">
            <v>Crédito minorista de consumo</v>
          </cell>
          <cell r="K28" t="str">
            <v>Tarjetas de crédito</v>
          </cell>
        </row>
        <row r="29">
          <cell r="H29" t="str">
            <v>Banca minorista</v>
          </cell>
          <cell r="I29" t="str">
            <v>Banca minorista</v>
          </cell>
          <cell r="J29" t="str">
            <v>Crédito minorista de consumo</v>
          </cell>
          <cell r="K29" t="str">
            <v>Sobregiros en cuenta corriente</v>
          </cell>
        </row>
        <row r="30">
          <cell r="H30" t="str">
            <v>Banca minorista</v>
          </cell>
          <cell r="I30" t="str">
            <v>Banca minorista</v>
          </cell>
          <cell r="J30" t="str">
            <v>Crédito minorista de consumo</v>
          </cell>
          <cell r="K30" t="str">
            <v>Arrendamiento financiero</v>
          </cell>
        </row>
        <row r="31">
          <cell r="H31" t="str">
            <v>Banca minorista</v>
          </cell>
          <cell r="I31" t="str">
            <v>Banca minorista</v>
          </cell>
          <cell r="J31" t="str">
            <v>Crédito minorista de consumo</v>
          </cell>
          <cell r="K31" t="str">
            <v>Lease-back</v>
          </cell>
        </row>
        <row r="32">
          <cell r="H32" t="str">
            <v>Banca minorista</v>
          </cell>
          <cell r="I32" t="str">
            <v>Banca minorista</v>
          </cell>
          <cell r="J32" t="str">
            <v>Crédito minorista de consumo</v>
          </cell>
          <cell r="K32" t="str">
            <v>Pignoraticio</v>
          </cell>
        </row>
        <row r="33">
          <cell r="F33" t="str">
            <v>Cartera de Créditos- Banca Minorista_Vehicular</v>
          </cell>
          <cell r="G33" t="str">
            <v>Banca minorista-Crédito minorista de consumo-Cartera de Créditos- Banca Minorista_Vehicular</v>
          </cell>
          <cell r="H33" t="str">
            <v>Banca minorista</v>
          </cell>
          <cell r="I33" t="str">
            <v>Banca minorista</v>
          </cell>
          <cell r="J33" t="str">
            <v>Crédito minorista de consumo</v>
          </cell>
          <cell r="K33" t="str">
            <v>Crédito automotriz</v>
          </cell>
        </row>
        <row r="34">
          <cell r="H34" t="str">
            <v>Banca minorista</v>
          </cell>
          <cell r="I34" t="str">
            <v>Banca minorista</v>
          </cell>
          <cell r="J34" t="str">
            <v>Crédito minorista de consumo</v>
          </cell>
          <cell r="K34" t="str">
            <v>Créditos con garantía hipotecaria (revolventes y no revolventes)</v>
          </cell>
        </row>
        <row r="35">
          <cell r="F35" t="str">
            <v>Cartera de Créditos- Banca Minorista_Préstamo</v>
          </cell>
          <cell r="G35" t="str">
            <v>Banca minorista-Crédito minorista de consumo-Cartera de Créditos- Banca Minorista_Préstamo</v>
          </cell>
          <cell r="H35" t="str">
            <v>Banca minorista</v>
          </cell>
          <cell r="I35" t="str">
            <v>Banca minorista</v>
          </cell>
          <cell r="J35" t="str">
            <v>Crédito minorista de consumo</v>
          </cell>
          <cell r="K35" t="str">
            <v>Préstamos revolventes (inc. Convenios)</v>
          </cell>
        </row>
        <row r="36">
          <cell r="F36" t="str">
            <v>Convenios</v>
          </cell>
          <cell r="G36" t="str">
            <v>Banca minorista-Crédito minorista de consumo-Convenios</v>
          </cell>
          <cell r="H36" t="str">
            <v>Banca minorista</v>
          </cell>
          <cell r="I36" t="str">
            <v>Banca minorista</v>
          </cell>
          <cell r="J36" t="str">
            <v>Crédito minorista de consumo</v>
          </cell>
          <cell r="K36" t="str">
            <v>Préstamos no revolventes (inc. Convenios)</v>
          </cell>
        </row>
        <row r="37">
          <cell r="H37" t="str">
            <v>Banca minorista</v>
          </cell>
          <cell r="I37" t="str">
            <v>Banca minorista</v>
          </cell>
          <cell r="J37" t="str">
            <v>Crédito minorista de consumo</v>
          </cell>
          <cell r="K37" t="str">
            <v>Avales / Cartas fianza / Carta de crédito</v>
          </cell>
        </row>
        <row r="38">
          <cell r="H38" t="str">
            <v>Banca minorista</v>
          </cell>
          <cell r="I38" t="str">
            <v>Banca minorista</v>
          </cell>
          <cell r="J38" t="str">
            <v>Crédito minorista de consumo</v>
          </cell>
          <cell r="K38" t="str">
            <v>Otros créditos</v>
          </cell>
        </row>
        <row r="39">
          <cell r="H39" t="str">
            <v>Banca minorista</v>
          </cell>
          <cell r="I39" t="str">
            <v>Banca minorista</v>
          </cell>
          <cell r="J39" t="str">
            <v>Crédito minorista microempresas</v>
          </cell>
          <cell r="K39" t="str">
            <v>Avances en cuenta corriente</v>
          </cell>
        </row>
        <row r="40">
          <cell r="H40" t="str">
            <v>Banca minorista</v>
          </cell>
          <cell r="I40" t="str">
            <v>Banca minorista</v>
          </cell>
          <cell r="J40" t="str">
            <v>Crédito minorista microempresas</v>
          </cell>
          <cell r="K40" t="str">
            <v>Tarjetas de crédito</v>
          </cell>
        </row>
        <row r="41">
          <cell r="H41" t="str">
            <v>Banca minorista</v>
          </cell>
          <cell r="I41" t="str">
            <v>Banca minorista</v>
          </cell>
          <cell r="J41" t="str">
            <v>Crédito minorista microempresas</v>
          </cell>
          <cell r="K41" t="str">
            <v>Sobregiros en cuenta corriente</v>
          </cell>
        </row>
        <row r="42">
          <cell r="H42" t="str">
            <v>Banca minorista</v>
          </cell>
          <cell r="I42" t="str">
            <v>Banca minorista</v>
          </cell>
          <cell r="J42" t="str">
            <v>Crédito minorista microempresas</v>
          </cell>
          <cell r="K42" t="str">
            <v>Descuentos (pagarés y letras)</v>
          </cell>
        </row>
        <row r="43">
          <cell r="H43" t="str">
            <v>Banca minorista</v>
          </cell>
          <cell r="I43" t="str">
            <v>Banca minorista</v>
          </cell>
          <cell r="J43" t="str">
            <v>Crédito minorista microempresas</v>
          </cell>
          <cell r="K43" t="str">
            <v>Préstamos revolventes</v>
          </cell>
        </row>
        <row r="44">
          <cell r="H44" t="str">
            <v>Banca minorista</v>
          </cell>
          <cell r="I44" t="str">
            <v>Banca minorista</v>
          </cell>
          <cell r="J44" t="str">
            <v>Crédito minorista microempresas</v>
          </cell>
          <cell r="K44" t="str">
            <v>Préstamos no revolventes</v>
          </cell>
        </row>
        <row r="45">
          <cell r="H45" t="str">
            <v>Banca minorista</v>
          </cell>
          <cell r="I45" t="str">
            <v>Banca minorista</v>
          </cell>
          <cell r="J45" t="str">
            <v>Crédito minorista microempresas</v>
          </cell>
          <cell r="K45" t="str">
            <v>Capitalización inmobiliaria</v>
          </cell>
        </row>
        <row r="46">
          <cell r="H46" t="str">
            <v>Banca minorista</v>
          </cell>
          <cell r="I46" t="str">
            <v>Banca minorista</v>
          </cell>
          <cell r="J46" t="str">
            <v>Crédito minorista microempresas</v>
          </cell>
          <cell r="K46" t="str">
            <v>Factoring</v>
          </cell>
        </row>
        <row r="47">
          <cell r="H47" t="str">
            <v>Banca minorista</v>
          </cell>
          <cell r="I47" t="str">
            <v>Banca minorista</v>
          </cell>
          <cell r="J47" t="str">
            <v>Crédito minorista microempresas</v>
          </cell>
          <cell r="K47" t="str">
            <v>Arrendamiento financiero</v>
          </cell>
        </row>
        <row r="48">
          <cell r="H48" t="str">
            <v>Banca minorista</v>
          </cell>
          <cell r="I48" t="str">
            <v>Banca minorista</v>
          </cell>
          <cell r="J48" t="str">
            <v>Crédito minorista microempresas</v>
          </cell>
          <cell r="K48" t="str">
            <v>Lease-back</v>
          </cell>
        </row>
        <row r="49">
          <cell r="H49" t="str">
            <v>Banca minorista</v>
          </cell>
          <cell r="I49" t="str">
            <v>Banca minorista</v>
          </cell>
          <cell r="J49" t="str">
            <v>Crédito minorista microempresas</v>
          </cell>
          <cell r="K49" t="str">
            <v>Comercio exterior</v>
          </cell>
        </row>
        <row r="50">
          <cell r="H50" t="str">
            <v>Banca minorista</v>
          </cell>
          <cell r="I50" t="str">
            <v>Banca minorista</v>
          </cell>
          <cell r="J50" t="str">
            <v>Crédito minorista microempresas</v>
          </cell>
          <cell r="K50" t="str">
            <v>Crédito inmobiliario</v>
          </cell>
        </row>
        <row r="51">
          <cell r="H51" t="str">
            <v>Banca minorista</v>
          </cell>
          <cell r="I51" t="str">
            <v>Banca minorista</v>
          </cell>
          <cell r="J51" t="str">
            <v>Crédito minorista microempresas</v>
          </cell>
          <cell r="K51" t="str">
            <v>Avales / Cartas fianza / Carta de crédito</v>
          </cell>
        </row>
        <row r="52">
          <cell r="H52" t="str">
            <v>Banca minorista</v>
          </cell>
          <cell r="I52" t="str">
            <v>Banca minorista</v>
          </cell>
          <cell r="J52" t="str">
            <v>Crédito minorista microempresas</v>
          </cell>
          <cell r="K52" t="str">
            <v>Otros créditos</v>
          </cell>
        </row>
        <row r="53">
          <cell r="H53" t="str">
            <v>Banca minorista</v>
          </cell>
          <cell r="I53" t="str">
            <v>Banca minorista</v>
          </cell>
          <cell r="J53" t="str">
            <v>Crédito minorista pequeñas empresas</v>
          </cell>
          <cell r="K53" t="str">
            <v>Avances en cuenta corriente</v>
          </cell>
        </row>
        <row r="54">
          <cell r="H54" t="str">
            <v>Banca minorista</v>
          </cell>
          <cell r="I54" t="str">
            <v>Banca minorista</v>
          </cell>
          <cell r="J54" t="str">
            <v>Crédito minorista pequeñas empresas</v>
          </cell>
          <cell r="K54" t="str">
            <v>Tarjetas de crédito</v>
          </cell>
        </row>
        <row r="55">
          <cell r="H55" t="str">
            <v>Banca minorista</v>
          </cell>
          <cell r="I55" t="str">
            <v>Banca minorista</v>
          </cell>
          <cell r="J55" t="str">
            <v>Crédito minorista pequeñas empresas</v>
          </cell>
          <cell r="K55" t="str">
            <v>Sobregiros en cuenta corriente</v>
          </cell>
        </row>
        <row r="56">
          <cell r="H56" t="str">
            <v>Banca minorista</v>
          </cell>
          <cell r="I56" t="str">
            <v>Banca minorista</v>
          </cell>
          <cell r="J56" t="str">
            <v>Crédito minorista pequeñas empresas</v>
          </cell>
          <cell r="K56" t="str">
            <v>Descuentos (pagarés y letras)</v>
          </cell>
        </row>
        <row r="57">
          <cell r="H57" t="str">
            <v>Banca minorista</v>
          </cell>
          <cell r="I57" t="str">
            <v>Banca minorista</v>
          </cell>
          <cell r="J57" t="str">
            <v>Crédito minorista pequeñas empresas</v>
          </cell>
          <cell r="K57" t="str">
            <v>Préstamos revolventes</v>
          </cell>
        </row>
        <row r="58">
          <cell r="H58" t="str">
            <v>Banca minorista</v>
          </cell>
          <cell r="I58" t="str">
            <v>Banca minorista</v>
          </cell>
          <cell r="J58" t="str">
            <v>Crédito minorista pequeñas empresas</v>
          </cell>
          <cell r="K58" t="str">
            <v>Préstamos no revolventes</v>
          </cell>
        </row>
        <row r="59">
          <cell r="H59" t="str">
            <v>Banca minorista</v>
          </cell>
          <cell r="I59" t="str">
            <v>Banca minorista</v>
          </cell>
          <cell r="J59" t="str">
            <v>Crédito minorista pequeñas empresas</v>
          </cell>
          <cell r="K59" t="str">
            <v>Capitalización inmobiliaria</v>
          </cell>
        </row>
        <row r="60">
          <cell r="H60" t="str">
            <v>Banca minorista</v>
          </cell>
          <cell r="I60" t="str">
            <v>Banca minorista</v>
          </cell>
          <cell r="J60" t="str">
            <v>Crédito minorista pequeñas empresas</v>
          </cell>
          <cell r="K60" t="str">
            <v>Factoring</v>
          </cell>
        </row>
        <row r="61">
          <cell r="H61" t="str">
            <v>Banca minorista</v>
          </cell>
          <cell r="I61" t="str">
            <v>Banca minorista</v>
          </cell>
          <cell r="J61" t="str">
            <v>Crédito minorista pequeñas empresas</v>
          </cell>
          <cell r="K61" t="str">
            <v>Arrendamiento financiero</v>
          </cell>
        </row>
        <row r="62">
          <cell r="H62" t="str">
            <v>Banca minorista</v>
          </cell>
          <cell r="I62" t="str">
            <v>Banca minorista</v>
          </cell>
          <cell r="J62" t="str">
            <v>Crédito minorista pequeñas empresas</v>
          </cell>
          <cell r="K62" t="str">
            <v>Lease-back</v>
          </cell>
        </row>
        <row r="63">
          <cell r="H63" t="str">
            <v>Banca minorista</v>
          </cell>
          <cell r="I63" t="str">
            <v>Banca minorista</v>
          </cell>
          <cell r="J63" t="str">
            <v>Crédito minorista pequeñas empresas</v>
          </cell>
          <cell r="K63" t="str">
            <v>Comercio exterior</v>
          </cell>
        </row>
        <row r="64">
          <cell r="H64" t="str">
            <v>Banca minorista</v>
          </cell>
          <cell r="I64" t="str">
            <v>Banca minorista</v>
          </cell>
          <cell r="J64" t="str">
            <v>Crédito minorista pequeñas empresas</v>
          </cell>
          <cell r="K64" t="str">
            <v>Crédito inmobiliario</v>
          </cell>
        </row>
        <row r="65">
          <cell r="H65" t="str">
            <v>Banca minorista</v>
          </cell>
          <cell r="I65" t="str">
            <v>Banca minorista</v>
          </cell>
          <cell r="J65" t="str">
            <v>Crédito minorista pequeñas empresas</v>
          </cell>
          <cell r="K65" t="str">
            <v>Avales / Cartas fianza / Carta de crédito</v>
          </cell>
        </row>
        <row r="66">
          <cell r="H66" t="str">
            <v>Banca minorista</v>
          </cell>
          <cell r="I66" t="str">
            <v>Banca minorista</v>
          </cell>
          <cell r="J66" t="str">
            <v>Crédito minorista pequeñas empresas</v>
          </cell>
          <cell r="K66" t="str">
            <v>Otros créditos</v>
          </cell>
        </row>
        <row r="67">
          <cell r="F67" t="str">
            <v>Cuenta Corriente_BM</v>
          </cell>
          <cell r="G67" t="str">
            <v>Banca minorista-Depósito minorista-Cuenta Corriente_BM</v>
          </cell>
          <cell r="H67" t="str">
            <v>Banca minorista</v>
          </cell>
          <cell r="I67" t="str">
            <v>Banca minorista</v>
          </cell>
          <cell r="J67" t="str">
            <v>Depósito minorista</v>
          </cell>
          <cell r="K67" t="str">
            <v>Depósitos en cuenta corriente</v>
          </cell>
        </row>
        <row r="68">
          <cell r="F68" t="str">
            <v>Cuenta Ahorro</v>
          </cell>
          <cell r="G68" t="str">
            <v>Banca minorista-Depósito minorista-Cuenta Ahorro</v>
          </cell>
          <cell r="H68" t="str">
            <v>Banca minorista</v>
          </cell>
          <cell r="I68" t="str">
            <v>Banca minorista</v>
          </cell>
          <cell r="J68" t="str">
            <v>Depósito minorista</v>
          </cell>
          <cell r="K68" t="str">
            <v>Depósitos de ahorro (activos e inactivos)</v>
          </cell>
        </row>
        <row r="69">
          <cell r="F69" t="str">
            <v>Depósito a Plazo_BM</v>
          </cell>
          <cell r="G69" t="str">
            <v>Banca minorista-Depósito minorista-Depósito a Plazo_BM</v>
          </cell>
          <cell r="H69" t="str">
            <v>Banca minorista</v>
          </cell>
          <cell r="I69" t="str">
            <v>Banca minorista</v>
          </cell>
          <cell r="J69" t="str">
            <v>Depósito minorista</v>
          </cell>
          <cell r="K69" t="str">
            <v>Cuentas a plazo</v>
          </cell>
        </row>
        <row r="70">
          <cell r="H70" t="str">
            <v>Banca minorista</v>
          </cell>
          <cell r="I70" t="str">
            <v>Banca minorista</v>
          </cell>
          <cell r="J70" t="str">
            <v>Depósito minorista</v>
          </cell>
          <cell r="K70" t="str">
            <v>Depósitos para planes progresivos</v>
          </cell>
        </row>
        <row r="71">
          <cell r="F71" t="str">
            <v>Cuenta Ahorro</v>
          </cell>
          <cell r="G71" t="str">
            <v>Banca minorista-Depósito minorista-Cuenta Ahorro</v>
          </cell>
          <cell r="H71" t="str">
            <v>Banca minorista</v>
          </cell>
          <cell r="I71" t="str">
            <v>Banca minorista</v>
          </cell>
          <cell r="J71" t="str">
            <v>Depósito minorista</v>
          </cell>
          <cell r="K71" t="str">
            <v>Depósitos compensación de tiempo de servicios</v>
          </cell>
        </row>
        <row r="72">
          <cell r="H72" t="str">
            <v>Banca comercial</v>
          </cell>
          <cell r="I72" t="str">
            <v>Banca comercial</v>
          </cell>
          <cell r="J72" t="str">
            <v>Crédito medianas empresas</v>
          </cell>
          <cell r="K72" t="str">
            <v>Avances en cuenta corriente</v>
          </cell>
        </row>
        <row r="73">
          <cell r="H73" t="str">
            <v>Banca comercial</v>
          </cell>
          <cell r="I73" t="str">
            <v>Banca comercial</v>
          </cell>
          <cell r="J73" t="str">
            <v>Crédito medianas empresas</v>
          </cell>
          <cell r="K73" t="str">
            <v>Tarjetas de crédito</v>
          </cell>
        </row>
        <row r="74">
          <cell r="F74" t="str">
            <v>Cuenta Corriente_BCS</v>
          </cell>
          <cell r="G74" t="str">
            <v>Banca comercial-Crédito medianas empresas-Cuenta Corriente_BCS</v>
          </cell>
          <cell r="H74" t="str">
            <v>Banca comercial</v>
          </cell>
          <cell r="I74" t="str">
            <v>Banca comercial</v>
          </cell>
          <cell r="J74" t="str">
            <v>Crédito medianas empresas</v>
          </cell>
          <cell r="K74" t="str">
            <v>Sobregiros en cuenta corriente</v>
          </cell>
        </row>
        <row r="75">
          <cell r="F75" t="str">
            <v>Descuento de Letras</v>
          </cell>
          <cell r="G75" t="str">
            <v>Banca comercial-Crédito medianas empresas-Descuento de Letras</v>
          </cell>
          <cell r="H75" t="str">
            <v>Banca comercial</v>
          </cell>
          <cell r="I75" t="str">
            <v>Banca comercial</v>
          </cell>
          <cell r="J75" t="str">
            <v>Crédito medianas empresas</v>
          </cell>
          <cell r="K75" t="str">
            <v>Descuentos</v>
          </cell>
        </row>
        <row r="76">
          <cell r="F76" t="str">
            <v>Cartera de Créditos- Banca Comercial_Préstamo Medianas Empresas</v>
          </cell>
          <cell r="G76" t="str">
            <v>Banca comercial-Crédito medianas empresas-Cartera de Créditos- Banca Comercial_Préstamo Medianas Empresas</v>
          </cell>
          <cell r="H76" t="str">
            <v>Banca comercial</v>
          </cell>
          <cell r="I76" t="str">
            <v>Banca comercial</v>
          </cell>
          <cell r="J76" t="str">
            <v>Crédito medianas empresas</v>
          </cell>
          <cell r="K76" t="str">
            <v>Préstamos revolventes</v>
          </cell>
        </row>
        <row r="77">
          <cell r="F77" t="str">
            <v>Cartera de Créditos- Banca Comercial_Préstamo Medianas Empresas</v>
          </cell>
          <cell r="G77" t="str">
            <v>Banca comercial-Crédito medianas empresas-Cartera de Créditos- Banca Comercial_Préstamo Medianas Empresas</v>
          </cell>
          <cell r="H77" t="str">
            <v>Banca comercial</v>
          </cell>
          <cell r="I77" t="str">
            <v>Banca comercial</v>
          </cell>
          <cell r="J77" t="str">
            <v>Crédito medianas empresas</v>
          </cell>
          <cell r="K77" t="str">
            <v>Préstamos no revolventes</v>
          </cell>
        </row>
        <row r="78">
          <cell r="H78" t="str">
            <v>Banca comercial</v>
          </cell>
          <cell r="I78" t="str">
            <v>Banca comercial</v>
          </cell>
          <cell r="J78" t="str">
            <v>Crédito medianas empresas</v>
          </cell>
          <cell r="K78" t="str">
            <v>Capitalización inmobiliaria</v>
          </cell>
        </row>
        <row r="79">
          <cell r="H79" t="str">
            <v>Banca comercial</v>
          </cell>
          <cell r="I79" t="str">
            <v>Banca comercial</v>
          </cell>
          <cell r="J79" t="str">
            <v>Crédito medianas empresas</v>
          </cell>
          <cell r="K79" t="str">
            <v>Factoring</v>
          </cell>
        </row>
        <row r="80">
          <cell r="F80" t="str">
            <v>Leasing</v>
          </cell>
          <cell r="G80" t="str">
            <v>Banca comercial-Crédito medianas empresas-Leasing</v>
          </cell>
          <cell r="H80" t="str">
            <v>Banca comercial</v>
          </cell>
          <cell r="I80" t="str">
            <v>Banca comercial</v>
          </cell>
          <cell r="J80" t="str">
            <v>Crédito medianas empresas</v>
          </cell>
          <cell r="K80" t="str">
            <v>Arrendamiento financiero</v>
          </cell>
        </row>
        <row r="81">
          <cell r="H81" t="str">
            <v>Banca comercial</v>
          </cell>
          <cell r="I81" t="str">
            <v>Banca comercial</v>
          </cell>
          <cell r="J81" t="str">
            <v>Crédito medianas empresas</v>
          </cell>
          <cell r="K81" t="str">
            <v>Lease-back</v>
          </cell>
        </row>
        <row r="82">
          <cell r="F82" t="str">
            <v>Comercio Exterior</v>
          </cell>
          <cell r="G82" t="str">
            <v>Banca comercial-Crédito medianas empresas-Comercio Exterior</v>
          </cell>
          <cell r="H82" t="str">
            <v>Banca comercial</v>
          </cell>
          <cell r="I82" t="str">
            <v>Banca comercial</v>
          </cell>
          <cell r="J82" t="str">
            <v>Crédito medianas empresas</v>
          </cell>
          <cell r="K82" t="str">
            <v>Comercio exterior</v>
          </cell>
        </row>
        <row r="83">
          <cell r="F83" t="str">
            <v>Cartera de Créditos- Banca Comercial_Hipotecario Medianas Empresas</v>
          </cell>
          <cell r="G83" t="str">
            <v>Banca comercial-Crédito medianas empresas-Cartera de Créditos- Banca Comercial_Hipotecario Medianas Empresas</v>
          </cell>
          <cell r="H83" t="str">
            <v>Banca comercial</v>
          </cell>
          <cell r="I83" t="str">
            <v>Banca comercial</v>
          </cell>
          <cell r="J83" t="str">
            <v>Crédito medianas empresas</v>
          </cell>
          <cell r="K83" t="str">
            <v>Crédito inmobiliario</v>
          </cell>
        </row>
        <row r="84">
          <cell r="F84" t="str">
            <v>Cartera de Créditos- Banca Comercial_Financiación Medianas Empresas</v>
          </cell>
          <cell r="G84" t="str">
            <v>Banca comercial-Crédito medianas empresas-Cartera de Créditos- Banca Comercial_Financiación Medianas Empresas</v>
          </cell>
          <cell r="H84" t="str">
            <v>Banca comercial</v>
          </cell>
          <cell r="I84" t="str">
            <v>Banca comercial</v>
          </cell>
          <cell r="J84" t="str">
            <v>Crédito medianas empresas</v>
          </cell>
          <cell r="K84" t="str">
            <v>Financiación estructurada</v>
          </cell>
        </row>
        <row r="85">
          <cell r="F85" t="str">
            <v>Fianzas</v>
          </cell>
          <cell r="G85" t="str">
            <v>Banca comercial-Crédito medianas empresas-Fianzas</v>
          </cell>
          <cell r="H85" t="str">
            <v>Banca comercial</v>
          </cell>
          <cell r="I85" t="str">
            <v>Banca comercial</v>
          </cell>
          <cell r="J85" t="str">
            <v>Crédito medianas empresas</v>
          </cell>
          <cell r="K85" t="str">
            <v>Avales / Cartas fianza / Carta de crédito</v>
          </cell>
        </row>
        <row r="86">
          <cell r="H86" t="str">
            <v>Banca comercial</v>
          </cell>
          <cell r="I86" t="str">
            <v>Banca comercial</v>
          </cell>
          <cell r="J86" t="str">
            <v>Crédito medianas empresas</v>
          </cell>
          <cell r="K86" t="str">
            <v>Otros créditos</v>
          </cell>
        </row>
        <row r="87">
          <cell r="H87" t="str">
            <v>Banca comercial</v>
          </cell>
          <cell r="I87" t="str">
            <v>Banca comercial</v>
          </cell>
          <cell r="J87" t="str">
            <v>Crédito grandes empresas</v>
          </cell>
          <cell r="K87" t="str">
            <v>Avances en cuenta corriente</v>
          </cell>
        </row>
        <row r="88">
          <cell r="H88" t="str">
            <v>Banca comercial</v>
          </cell>
          <cell r="I88" t="str">
            <v>Banca comercial</v>
          </cell>
          <cell r="J88" t="str">
            <v>Crédito grandes empresas</v>
          </cell>
          <cell r="K88" t="str">
            <v>Tarjetas de crédito</v>
          </cell>
        </row>
        <row r="89">
          <cell r="F89" t="str">
            <v>Cuenta Corriente_BCS</v>
          </cell>
          <cell r="G89" t="str">
            <v>Banca comercial-Crédito grandes empresas-Cuenta Corriente_BCS</v>
          </cell>
          <cell r="H89" t="str">
            <v>Banca comercial</v>
          </cell>
          <cell r="I89" t="str">
            <v>Banca comercial</v>
          </cell>
          <cell r="J89" t="str">
            <v>Crédito grandes empresas</v>
          </cell>
          <cell r="K89" t="str">
            <v>Sobregiros en cuenta corriente</v>
          </cell>
        </row>
        <row r="90">
          <cell r="F90" t="str">
            <v>Descuento de Letras</v>
          </cell>
          <cell r="G90" t="str">
            <v>Banca comercial-Crédito grandes empresas-Descuento de Letras</v>
          </cell>
          <cell r="H90" t="str">
            <v>Banca comercial</v>
          </cell>
          <cell r="I90" t="str">
            <v>Banca comercial</v>
          </cell>
          <cell r="J90" t="str">
            <v>Crédito grandes empresas</v>
          </cell>
          <cell r="K90" t="str">
            <v>Descuentos</v>
          </cell>
        </row>
        <row r="91">
          <cell r="F91" t="str">
            <v>Cartera de Créditos- Banca Comercial_Préstamos Grandes Empresas</v>
          </cell>
          <cell r="G91" t="str">
            <v>Banca comercial-Crédito grandes empresas-Cartera de Créditos- Banca Comercial_Préstamos Grandes Empresas</v>
          </cell>
          <cell r="H91" t="str">
            <v>Banca comercial</v>
          </cell>
          <cell r="I91" t="str">
            <v>Banca comercial</v>
          </cell>
          <cell r="J91" t="str">
            <v>Crédito grandes empresas</v>
          </cell>
          <cell r="K91" t="str">
            <v>Préstamos revolventes</v>
          </cell>
        </row>
        <row r="92">
          <cell r="F92" t="str">
            <v>Cartera de Créditos- Banca Comercial_Préstamos Grandes Empresas</v>
          </cell>
          <cell r="G92" t="str">
            <v>Banca comercial-Crédito grandes empresas-Cartera de Créditos- Banca Comercial_Préstamos Grandes Empresas</v>
          </cell>
          <cell r="H92" t="str">
            <v>Banca comercial</v>
          </cell>
          <cell r="I92" t="str">
            <v>Banca comercial</v>
          </cell>
          <cell r="J92" t="str">
            <v>Crédito grandes empresas</v>
          </cell>
          <cell r="K92" t="str">
            <v>Préstamos no revolventes</v>
          </cell>
        </row>
        <row r="93">
          <cell r="H93" t="str">
            <v>Banca comercial</v>
          </cell>
          <cell r="I93" t="str">
            <v>Banca comercial</v>
          </cell>
          <cell r="J93" t="str">
            <v>Crédito grandes empresas</v>
          </cell>
          <cell r="K93" t="str">
            <v>Capitalización inmobiliaria</v>
          </cell>
        </row>
        <row r="94">
          <cell r="H94" t="str">
            <v>Banca comercial</v>
          </cell>
          <cell r="I94" t="str">
            <v>Banca comercial</v>
          </cell>
          <cell r="J94" t="str">
            <v>Crédito grandes empresas</v>
          </cell>
          <cell r="K94" t="str">
            <v>Factoring</v>
          </cell>
        </row>
        <row r="95">
          <cell r="F95" t="str">
            <v>Leasing</v>
          </cell>
          <cell r="G95" t="str">
            <v>Banca comercial-Crédito grandes empresas-Leasing</v>
          </cell>
          <cell r="H95" t="str">
            <v>Banca comercial</v>
          </cell>
          <cell r="I95" t="str">
            <v>Banca comercial</v>
          </cell>
          <cell r="J95" t="str">
            <v>Crédito grandes empresas</v>
          </cell>
          <cell r="K95" t="str">
            <v>Arrendamiento financiero</v>
          </cell>
        </row>
        <row r="96">
          <cell r="H96" t="str">
            <v>Banca comercial</v>
          </cell>
          <cell r="I96" t="str">
            <v>Banca comercial</v>
          </cell>
          <cell r="J96" t="str">
            <v>Crédito grandes empresas</v>
          </cell>
          <cell r="K96" t="str">
            <v>Lease-back</v>
          </cell>
        </row>
        <row r="97">
          <cell r="F97" t="str">
            <v>Comercio Exterior</v>
          </cell>
          <cell r="G97" t="str">
            <v>Banca comercial-Crédito grandes empresas-Comercio Exterior</v>
          </cell>
          <cell r="H97" t="str">
            <v>Banca comercial</v>
          </cell>
          <cell r="I97" t="str">
            <v>Banca comercial</v>
          </cell>
          <cell r="J97" t="str">
            <v>Crédito grandes empresas</v>
          </cell>
          <cell r="K97" t="str">
            <v>Comercio exterior</v>
          </cell>
        </row>
        <row r="98">
          <cell r="F98" t="str">
            <v>Cartera de Créditos- Banca Comercial_Hipotecario Grandes Empresas</v>
          </cell>
          <cell r="G98" t="str">
            <v>Banca comercial-Crédito grandes empresas-Cartera de Créditos- Banca Comercial_Hipotecario Grandes Empresas</v>
          </cell>
          <cell r="H98" t="str">
            <v>Banca comercial</v>
          </cell>
          <cell r="I98" t="str">
            <v>Banca comercial</v>
          </cell>
          <cell r="J98" t="str">
            <v>Crédito grandes empresas</v>
          </cell>
          <cell r="K98" t="str">
            <v>Crédito inmobiliario</v>
          </cell>
        </row>
        <row r="99">
          <cell r="F99" t="str">
            <v>Cartera de Créditos- Banca Comercial_Financiación Grandes Empresas</v>
          </cell>
          <cell r="G99" t="str">
            <v>Banca comercial-Crédito grandes empresas-Cartera de Créditos- Banca Comercial_Financiación Grandes Empresas</v>
          </cell>
          <cell r="H99" t="str">
            <v>Banca comercial</v>
          </cell>
          <cell r="I99" t="str">
            <v>Banca comercial</v>
          </cell>
          <cell r="J99" t="str">
            <v>Crédito grandes empresas</v>
          </cell>
          <cell r="K99" t="str">
            <v>Financiación estructurada</v>
          </cell>
        </row>
        <row r="100">
          <cell r="F100" t="str">
            <v>Fianzas</v>
          </cell>
          <cell r="G100" t="str">
            <v>Banca comercial-Crédito grandes empresas-Fianzas</v>
          </cell>
          <cell r="H100" t="str">
            <v>Banca comercial</v>
          </cell>
          <cell r="I100" t="str">
            <v>Banca comercial</v>
          </cell>
          <cell r="J100" t="str">
            <v>Crédito grandes empresas</v>
          </cell>
          <cell r="K100" t="str">
            <v>Avales / Cartas fianza / Carta de crédito</v>
          </cell>
        </row>
        <row r="101">
          <cell r="H101" t="str">
            <v>Banca comercial</v>
          </cell>
          <cell r="I101" t="str">
            <v>Banca comercial</v>
          </cell>
          <cell r="J101" t="str">
            <v>Crédito grandes empresas</v>
          </cell>
          <cell r="K101" t="str">
            <v>Otros créditos</v>
          </cell>
        </row>
        <row r="102">
          <cell r="H102" t="str">
            <v>Banca comercial</v>
          </cell>
          <cell r="I102" t="str">
            <v>Banca comercial</v>
          </cell>
          <cell r="J102" t="str">
            <v>Crédito corporativo</v>
          </cell>
          <cell r="K102" t="str">
            <v>Avances en cuenta corriente</v>
          </cell>
        </row>
        <row r="103">
          <cell r="H103" t="str">
            <v>Banca comercial</v>
          </cell>
          <cell r="I103" t="str">
            <v>Banca comercial</v>
          </cell>
          <cell r="J103" t="str">
            <v>Crédito corporativo</v>
          </cell>
          <cell r="K103" t="str">
            <v>Tarjetas de crédito</v>
          </cell>
        </row>
        <row r="104">
          <cell r="F104" t="str">
            <v>Cuenta Corriente_BCS</v>
          </cell>
          <cell r="G104" t="str">
            <v>Banca comercial-Crédito corporativo-Cuenta Corriente_BCS</v>
          </cell>
          <cell r="H104" t="str">
            <v>Banca comercial</v>
          </cell>
          <cell r="I104" t="str">
            <v>Banca comercial</v>
          </cell>
          <cell r="J104" t="str">
            <v>Crédito corporativo</v>
          </cell>
          <cell r="K104" t="str">
            <v>Sobregiros en cuenta corriente</v>
          </cell>
        </row>
        <row r="105">
          <cell r="F105" t="str">
            <v>Descuento de Letras</v>
          </cell>
          <cell r="G105" t="str">
            <v>Banca comercial-Crédito corporativo-Descuento de Letras</v>
          </cell>
          <cell r="H105" t="str">
            <v>Banca comercial</v>
          </cell>
          <cell r="I105" t="str">
            <v>Banca comercial</v>
          </cell>
          <cell r="J105" t="str">
            <v>Crédito corporativo</v>
          </cell>
          <cell r="K105" t="str">
            <v>Descuentos</v>
          </cell>
        </row>
        <row r="106">
          <cell r="F106" t="str">
            <v>Cartera de Créditos- Banca Comercial_Préstamo Corporativo</v>
          </cell>
          <cell r="G106" t="str">
            <v>Banca comercial-Crédito corporativo-Cartera de Créditos- Banca Comercial_Préstamo Corporativo</v>
          </cell>
          <cell r="H106" t="str">
            <v>Banca comercial</v>
          </cell>
          <cell r="I106" t="str">
            <v>Banca comercial</v>
          </cell>
          <cell r="J106" t="str">
            <v>Crédito corporativo</v>
          </cell>
          <cell r="K106" t="str">
            <v>Préstamos revolventes</v>
          </cell>
        </row>
        <row r="107">
          <cell r="F107" t="str">
            <v>Cartera de Créditos- Banca Comercial_Préstamo Corporativo</v>
          </cell>
          <cell r="G107" t="str">
            <v>Banca comercial-Crédito corporativo-Cartera de Créditos- Banca Comercial_Préstamo Corporativo</v>
          </cell>
          <cell r="H107" t="str">
            <v>Banca comercial</v>
          </cell>
          <cell r="I107" t="str">
            <v>Banca comercial</v>
          </cell>
          <cell r="J107" t="str">
            <v>Crédito corporativo</v>
          </cell>
          <cell r="K107" t="str">
            <v>Préstamos no revolventes</v>
          </cell>
        </row>
        <row r="108">
          <cell r="H108" t="str">
            <v>Banca comercial</v>
          </cell>
          <cell r="I108" t="str">
            <v>Banca comercial</v>
          </cell>
          <cell r="J108" t="str">
            <v>Crédito corporativo</v>
          </cell>
          <cell r="K108" t="str">
            <v>Capitalización inmobiliaria</v>
          </cell>
        </row>
        <row r="109">
          <cell r="H109" t="str">
            <v>Banca comercial</v>
          </cell>
          <cell r="I109" t="str">
            <v>Banca comercial</v>
          </cell>
          <cell r="J109" t="str">
            <v>Crédito corporativo</v>
          </cell>
          <cell r="K109" t="str">
            <v>Factoring</v>
          </cell>
        </row>
        <row r="110">
          <cell r="F110" t="str">
            <v>Leasing</v>
          </cell>
          <cell r="G110" t="str">
            <v>Banca comercial-Crédito corporativo-Leasing</v>
          </cell>
          <cell r="H110" t="str">
            <v>Banca comercial</v>
          </cell>
          <cell r="I110" t="str">
            <v>Banca comercial</v>
          </cell>
          <cell r="J110" t="str">
            <v>Crédito corporativo</v>
          </cell>
          <cell r="K110" t="str">
            <v>Arrendamiento financiero</v>
          </cell>
        </row>
        <row r="111">
          <cell r="H111" t="str">
            <v>Banca comercial</v>
          </cell>
          <cell r="I111" t="str">
            <v>Banca comercial</v>
          </cell>
          <cell r="J111" t="str">
            <v>Crédito corporativo</v>
          </cell>
          <cell r="K111" t="str">
            <v>Lease-back</v>
          </cell>
        </row>
        <row r="112">
          <cell r="F112" t="str">
            <v>Comercio Exterior</v>
          </cell>
          <cell r="G112" t="str">
            <v>Banca comercial-Crédito corporativo-Comercio Exterior</v>
          </cell>
          <cell r="H112" t="str">
            <v>Banca comercial</v>
          </cell>
          <cell r="I112" t="str">
            <v>Banca comercial</v>
          </cell>
          <cell r="J112" t="str">
            <v>Crédito corporativo</v>
          </cell>
          <cell r="K112" t="str">
            <v>Comercio exterior</v>
          </cell>
        </row>
        <row r="113">
          <cell r="F113" t="str">
            <v>Cartera de Créditos- Banca Comercial_Hipotecario Corporativo</v>
          </cell>
          <cell r="G113" t="str">
            <v>Banca comercial-Crédito corporativo-Cartera de Créditos- Banca Comercial_Hipotecario Corporativo</v>
          </cell>
          <cell r="H113" t="str">
            <v>Banca comercial</v>
          </cell>
          <cell r="I113" t="str">
            <v>Banca comercial</v>
          </cell>
          <cell r="J113" t="str">
            <v>Crédito corporativo</v>
          </cell>
          <cell r="K113" t="str">
            <v>Crédito inmobiliario</v>
          </cell>
        </row>
        <row r="114">
          <cell r="F114" t="str">
            <v>Cartera de Créditos- Banca Comercial_Financiación Corporativo</v>
          </cell>
          <cell r="G114" t="str">
            <v>Banca comercial-Crédito corporativo-Cartera de Créditos- Banca Comercial_Financiación Corporativo</v>
          </cell>
          <cell r="H114" t="str">
            <v>Banca comercial</v>
          </cell>
          <cell r="I114" t="str">
            <v>Banca comercial</v>
          </cell>
          <cell r="J114" t="str">
            <v>Crédito corporativo</v>
          </cell>
          <cell r="K114" t="str">
            <v>Financiación estructurada</v>
          </cell>
        </row>
        <row r="115">
          <cell r="F115" t="str">
            <v>Fianzas</v>
          </cell>
          <cell r="G115" t="str">
            <v>Banca comercial-Crédito corporativo-Fianzas</v>
          </cell>
          <cell r="H115" t="str">
            <v>Banca comercial</v>
          </cell>
          <cell r="I115" t="str">
            <v>Banca comercial</v>
          </cell>
          <cell r="J115" t="str">
            <v>Crédito corporativo</v>
          </cell>
          <cell r="K115" t="str">
            <v>Avales / Cartas fianza / Carta de crédito</v>
          </cell>
        </row>
        <row r="116">
          <cell r="H116" t="str">
            <v>Banca comercial</v>
          </cell>
          <cell r="I116" t="str">
            <v>Banca comercial</v>
          </cell>
          <cell r="J116" t="str">
            <v>Crédito corporativo</v>
          </cell>
          <cell r="K116" t="str">
            <v>Otros créditos</v>
          </cell>
        </row>
        <row r="117">
          <cell r="F117" t="str">
            <v>Cuenta Corriente_BCD</v>
          </cell>
          <cell r="G117" t="str">
            <v>Banca comercial-Depósito comercial-Cuenta Corriente_BCD</v>
          </cell>
          <cell r="H117" t="str">
            <v>Banca comercial</v>
          </cell>
          <cell r="I117" t="str">
            <v>Banca comercial</v>
          </cell>
          <cell r="J117" t="str">
            <v>Depósito comercial</v>
          </cell>
          <cell r="K117" t="str">
            <v>Depósitos en cuenta corriente</v>
          </cell>
        </row>
        <row r="118">
          <cell r="F118" t="str">
            <v>Cuenta Corriente_BCD</v>
          </cell>
          <cell r="G118" t="str">
            <v>Banca comercial-Depósito comercial-Cuenta Corriente_BCD</v>
          </cell>
          <cell r="H118" t="str">
            <v>Banca comercial</v>
          </cell>
          <cell r="I118" t="str">
            <v>Banca comercial</v>
          </cell>
          <cell r="J118" t="str">
            <v>Depósito comercial</v>
          </cell>
          <cell r="K118" t="str">
            <v>Depósitos de ahorro (activos e inactivos)</v>
          </cell>
        </row>
        <row r="119">
          <cell r="F119" t="str">
            <v>Depósito a Plazo_BC</v>
          </cell>
          <cell r="G119" t="str">
            <v>Banca comercial-Depósito comercial-Depósito a Plazo_BC</v>
          </cell>
          <cell r="H119" t="str">
            <v>Banca comercial</v>
          </cell>
          <cell r="I119" t="str">
            <v>Banca comercial</v>
          </cell>
          <cell r="J119" t="str">
            <v>Depósito comercial</v>
          </cell>
          <cell r="K119" t="str">
            <v>Cuentas a plazo</v>
          </cell>
        </row>
        <row r="120">
          <cell r="F120" t="str">
            <v>Recaudos</v>
          </cell>
          <cell r="G120" t="str">
            <v>Liquidación y pagos-Administración de
efectivo, pagos y
liquidaciones-Recaudos</v>
          </cell>
          <cell r="H120" t="str">
            <v>Liquidación y pagos</v>
          </cell>
          <cell r="I120" t="str">
            <v>Clientes externos</v>
          </cell>
          <cell r="J120" t="str">
            <v>Administración de
efectivo, pagos y
liquidaciones</v>
          </cell>
          <cell r="K120" t="str">
            <v>Administración de cuentas empresariales</v>
          </cell>
        </row>
        <row r="121">
          <cell r="F121" t="str">
            <v>Recaudos</v>
          </cell>
          <cell r="G121" t="str">
            <v>Liquidación y pagos-Administración de
efectivo, pagos y
liquidaciones-Recaudos</v>
          </cell>
          <cell r="H121" t="str">
            <v>Liquidación y pagos</v>
          </cell>
          <cell r="I121" t="str">
            <v>Clientes externos</v>
          </cell>
          <cell r="J121" t="str">
            <v>Administración de
efectivo, pagos y
liquidaciones</v>
          </cell>
          <cell r="K121" t="str">
            <v>Pagos electrónicos</v>
          </cell>
        </row>
        <row r="122">
          <cell r="F122" t="str">
            <v>Recaudos</v>
          </cell>
          <cell r="G122" t="str">
            <v>Liquidación y pagos-Administración de
efectivo, pagos y
liquidaciones-Recaudos</v>
          </cell>
          <cell r="H122" t="str">
            <v>Liquidación y pagos</v>
          </cell>
          <cell r="I122" t="str">
            <v>Clientes externos</v>
          </cell>
          <cell r="J122" t="str">
            <v>Administración de
efectivo, pagos y
liquidaciones</v>
          </cell>
          <cell r="K122" t="str">
            <v>Pagos manuales</v>
          </cell>
        </row>
        <row r="123">
          <cell r="F123" t="str">
            <v>Transferencias Nacionales</v>
          </cell>
          <cell r="G123" t="str">
            <v>Liquidación y pagos-Administración de
efectivo, pagos y
liquidaciones-Transferencias Nacionales</v>
          </cell>
          <cell r="H123" t="str">
            <v>Liquidación y pagos</v>
          </cell>
          <cell r="I123" t="str">
            <v>Clientes externos</v>
          </cell>
          <cell r="J123" t="str">
            <v>Administración de
efectivo, pagos y
liquidaciones</v>
          </cell>
          <cell r="K123" t="str">
            <v>Compensación</v>
          </cell>
        </row>
        <row r="124">
          <cell r="H124" t="str">
            <v>Liquidación y pagos</v>
          </cell>
          <cell r="I124" t="str">
            <v>Clientes externos</v>
          </cell>
          <cell r="J124" t="str">
            <v>Administración de
efectivo, pagos y
liquidaciones</v>
          </cell>
          <cell r="K124" t="str">
            <v>Liquidaciones</v>
          </cell>
        </row>
        <row r="125">
          <cell r="F125" t="str">
            <v>Transferencias con el Exterior</v>
          </cell>
          <cell r="G125" t="str">
            <v>Liquidación y pagos-Administración de
efectivo, pagos y
liquidaciones-Transferencias con el Exterior</v>
          </cell>
          <cell r="H125" t="str">
            <v>Liquidación y pagos</v>
          </cell>
          <cell r="I125" t="str">
            <v>Clientes externos</v>
          </cell>
          <cell r="J125" t="str">
            <v>Administración de
efectivo, pagos y
liquidaciones</v>
          </cell>
          <cell r="K125" t="str">
            <v>Remesas</v>
          </cell>
        </row>
        <row r="126">
          <cell r="H126" t="str">
            <v>Liquidación y pagos</v>
          </cell>
          <cell r="I126" t="str">
            <v>Clientes externos</v>
          </cell>
          <cell r="J126" t="str">
            <v>Administración de efectivo, pagos y liquidaciones</v>
          </cell>
          <cell r="K126" t="str">
            <v>Servicio de compra/venta de moneda extranjera</v>
          </cell>
        </row>
        <row r="127">
          <cell r="H127" t="str">
            <v>Otros Servicios</v>
          </cell>
          <cell r="I127" t="str">
            <v>Custodia</v>
          </cell>
          <cell r="J127" t="str">
            <v>Gestión de inversiones y encargos de confianza</v>
          </cell>
          <cell r="K127" t="str">
            <v>Servicios de custodia</v>
          </cell>
        </row>
        <row r="128">
          <cell r="H128" t="str">
            <v>Otros Servicios</v>
          </cell>
          <cell r="I128" t="str">
            <v>Fideicomisos</v>
          </cell>
          <cell r="J128" t="str">
            <v>Gestión de inversiones y encargos de confianza</v>
          </cell>
          <cell r="K128" t="str">
            <v>Fideicomisos</v>
          </cell>
        </row>
        <row r="129">
          <cell r="H129" t="str">
            <v>Otros Servicios</v>
          </cell>
          <cell r="I129" t="str">
            <v>Encargos de confianza</v>
          </cell>
          <cell r="J129" t="str">
            <v>Gestión de inversiones y encargos de confianza</v>
          </cell>
          <cell r="K129" t="str">
            <v>Servicios por acciones corporativas</v>
          </cell>
        </row>
        <row r="130">
          <cell r="G130" t="str">
            <v>Otros Servicios-Gestión de inversiones y encargos de confianza-</v>
          </cell>
          <cell r="H130" t="str">
            <v>Otros Servicios</v>
          </cell>
          <cell r="I130" t="str">
            <v>Encargos de confianza</v>
          </cell>
          <cell r="J130" t="str">
            <v>Gestión de inversiones y encargos de confianza</v>
          </cell>
          <cell r="K130" t="str">
            <v>Servicios de registo y administración de títulos valores</v>
          </cell>
        </row>
        <row r="131">
          <cell r="H131" t="str">
            <v>Otros Servicios</v>
          </cell>
          <cell r="I131" t="str">
            <v>Encargos de confianza</v>
          </cell>
          <cell r="J131" t="str">
            <v>Gestión de inversiones y encargos de confianza</v>
          </cell>
          <cell r="K131" t="str">
            <v>Corretaje</v>
          </cell>
        </row>
        <row r="132">
          <cell r="H132" t="str">
            <v>Otros Servicios</v>
          </cell>
          <cell r="I132" t="str">
            <v>Encargos de confianza</v>
          </cell>
          <cell r="J132" t="str">
            <v>Gestión de inversiones y encargos de confianza</v>
          </cell>
          <cell r="K132" t="str">
            <v>Asesoría financiera</v>
          </cell>
        </row>
        <row r="133">
          <cell r="H133" t="str">
            <v>Otros Servicios</v>
          </cell>
          <cell r="I133" t="str">
            <v>Encargos de confianza</v>
          </cell>
          <cell r="J133" t="str">
            <v>Gestión de inversiones y encargos de confianza</v>
          </cell>
          <cell r="K133" t="str">
            <v>Servicios de gestión de portafolio</v>
          </cell>
        </row>
        <row r="134">
          <cell r="H134" t="str">
            <v>Otros Servicios</v>
          </cell>
          <cell r="I134" t="str">
            <v>Encargos de confianza</v>
          </cell>
          <cell r="J134" t="str">
            <v>Gestión de inversiones y encargos de confianza</v>
          </cell>
          <cell r="K134" t="str">
            <v>Servicios de ejecución de operaciones</v>
          </cell>
        </row>
        <row r="135">
          <cell r="H135" t="str">
            <v>Otros Servicios</v>
          </cell>
          <cell r="I135" t="str">
            <v>Encargos de confianza</v>
          </cell>
          <cell r="J135" t="str">
            <v>Gestión de inversiones y encargos de confianza</v>
          </cell>
          <cell r="K135" t="str">
            <v>Servicios de asesoría en gestión de portafolios</v>
          </cell>
        </row>
        <row r="136">
          <cell r="H136" t="str">
            <v>Otros Servicios</v>
          </cell>
          <cell r="I136" t="str">
            <v>Encargos de confianza</v>
          </cell>
          <cell r="J136" t="str">
            <v>Gestión de inversiones y encargos de confianza</v>
          </cell>
          <cell r="K136" t="str">
            <v>Créditos interbancarios colateralizados</v>
          </cell>
        </row>
        <row r="137">
          <cell r="H137" t="str">
            <v>Otros Servicios</v>
          </cell>
          <cell r="I137" t="str">
            <v>Encargos de confianza</v>
          </cell>
          <cell r="J137" t="str">
            <v>Productos de inversión</v>
          </cell>
          <cell r="K137" t="str">
            <v>Administración de fondos</v>
          </cell>
        </row>
        <row r="138">
          <cell r="H138" t="str">
            <v>Otros Servicios</v>
          </cell>
          <cell r="I138" t="str">
            <v>Encargos de confianza</v>
          </cell>
          <cell r="J138" t="str">
            <v>Productos de inversión</v>
          </cell>
          <cell r="K138" t="str">
            <v>Administración de activos de inversionistas institucionales tradicional</v>
          </cell>
        </row>
        <row r="139">
          <cell r="H139" t="str">
            <v>Otros Servicios</v>
          </cell>
          <cell r="I139" t="str">
            <v>Encargos de confianza</v>
          </cell>
          <cell r="J139" t="str">
            <v>Productos de inversión</v>
          </cell>
          <cell r="K139" t="str">
            <v>Administración de activos de inversionistas institucionales alternativo</v>
          </cell>
        </row>
        <row r="140">
          <cell r="H140" t="str">
            <v>Otros Servicios</v>
          </cell>
          <cell r="I140" t="str">
            <v>Encargos de confianza</v>
          </cell>
          <cell r="J140" t="str">
            <v>Corretaje /Brokerage</v>
          </cell>
          <cell r="K140" t="str">
            <v>Servicio de corretaje completo</v>
          </cell>
        </row>
        <row r="141">
          <cell r="H141" t="str">
            <v>Otros Servicios</v>
          </cell>
          <cell r="I141" t="str">
            <v>Encargos de confianza</v>
          </cell>
          <cell r="J141" t="str">
            <v>Corretaje /Brokerage</v>
          </cell>
          <cell r="K141" t="str">
            <v>Servicio de corretaje autodirigido</v>
          </cell>
        </row>
        <row r="142">
          <cell r="F142" t="str">
            <v>Venta de Seguros</v>
          </cell>
          <cell r="G142" t="str">
            <v>Otros Servicios-Otros servicios-Venta de Seguros</v>
          </cell>
          <cell r="H142" t="str">
            <v>Otros Servicios</v>
          </cell>
          <cell r="I142" t="str">
            <v>Otros servicios</v>
          </cell>
          <cell r="J142" t="str">
            <v>Otros servicios</v>
          </cell>
          <cell r="K142" t="str">
            <v>Otros servicios</v>
          </cell>
        </row>
        <row r="143">
          <cell r="F143" t="str">
            <v>Proceso de Apoyo</v>
          </cell>
          <cell r="G143" t="str">
            <v>Varias lineas de negocios--Proceso de Apoyo</v>
          </cell>
          <cell r="H143" t="str">
            <v>Varias lineas de negocios</v>
          </cell>
        </row>
        <row r="144">
          <cell r="F144" t="str">
            <v>Multiples productos</v>
          </cell>
          <cell r="G144" t="str">
            <v>Varias lineas de negocios--Multiples productos</v>
          </cell>
          <cell r="H144" t="str">
            <v>Varias lineas de negocios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ARO_001"/>
      <sheetName val="ARO_002"/>
      <sheetName val="R1.1"/>
      <sheetName val="R1.2"/>
      <sheetName val="R1.3"/>
      <sheetName val="R1.4"/>
      <sheetName val="R1.5"/>
      <sheetName val="R1.6"/>
      <sheetName val="R y C R1.1"/>
      <sheetName val="R y C R1.2"/>
      <sheetName val="R y C R1.3"/>
      <sheetName val="R y C R1.4"/>
      <sheetName val="R y C R1.5"/>
      <sheetName val="R y C R1.6"/>
      <sheetName val="Resumen"/>
      <sheetName val="Evento"/>
      <sheetName val="Origen"/>
    </sheetNames>
    <sheetDataSet>
      <sheetData sheetId="0" refreshError="1">
        <row r="2">
          <cell r="H2" t="str">
            <v>Personal inadecuado</v>
          </cell>
        </row>
        <row r="3">
          <cell r="H3" t="str">
            <v>Personal insuficiente</v>
          </cell>
        </row>
        <row r="4">
          <cell r="H4" t="str">
            <v xml:space="preserve">Desempeño Inadecuado </v>
          </cell>
        </row>
        <row r="5">
          <cell r="H5" t="str">
            <v>Dependencia de personal clave</v>
          </cell>
        </row>
        <row r="6">
          <cell r="H6" t="str">
            <v>Excesiva Rotación de personal</v>
          </cell>
        </row>
        <row r="7">
          <cell r="H7" t="str">
            <v>Actitud Deshonesta</v>
          </cell>
        </row>
        <row r="8">
          <cell r="H8" t="str">
            <v>Infraestructura Inadecuado</v>
          </cell>
        </row>
        <row r="9">
          <cell r="H9" t="str">
            <v>Fallas en el diseño del proceso</v>
          </cell>
        </row>
        <row r="10">
          <cell r="H10" t="str">
            <v>Fallas en la ejecución del proceso</v>
          </cell>
        </row>
        <row r="11">
          <cell r="H11" t="str">
            <v>Fallas en los mecanismos de control</v>
          </cell>
        </row>
        <row r="12">
          <cell r="H12" t="str">
            <v>Falta de Confidencialidad</v>
          </cell>
        </row>
        <row r="13">
          <cell r="H13" t="str">
            <v xml:space="preserve">Falta de Integridad </v>
          </cell>
        </row>
        <row r="14">
          <cell r="H14" t="str">
            <v>Falta de Disponibilidad</v>
          </cell>
        </row>
        <row r="15">
          <cell r="H15" t="str">
            <v>Inapropiada provisión de bienes o servicios por parte de proveedores externos</v>
          </cell>
        </row>
        <row r="16">
          <cell r="H16" t="str">
            <v>Acciones legales adversas</v>
          </cell>
        </row>
        <row r="17">
          <cell r="H17" t="str">
            <v>Conducta indebida de terceros</v>
          </cell>
        </row>
        <row r="18">
          <cell r="H18" t="str">
            <v>Daños a la infraestructura</v>
          </cell>
        </row>
        <row r="19">
          <cell r="H19" t="str">
            <v>Cambios regulatorios</v>
          </cell>
        </row>
        <row r="20">
          <cell r="H20" t="str">
            <v>Problemas políticos/gobierno</v>
          </cell>
        </row>
        <row r="92">
          <cell r="A92" t="str">
            <v>FRAUDE INTERNO</v>
          </cell>
        </row>
        <row r="93">
          <cell r="A93" t="str">
            <v>Actividades no autorizadas</v>
          </cell>
        </row>
        <row r="94">
          <cell r="A94" t="str">
            <v>Omisión intencional en el reporte de transacciones</v>
          </cell>
        </row>
        <row r="95">
          <cell r="A95" t="str">
            <v>Ejecución de transacciones no autorizadas</v>
          </cell>
        </row>
        <row r="96">
          <cell r="A96" t="str">
            <v>Robo y Fraude</v>
          </cell>
        </row>
        <row r="97">
          <cell r="A97" t="str">
            <v>Error intencional en ejecución o  reporte de transacciones</v>
          </cell>
        </row>
        <row r="98">
          <cell r="A98" t="str">
            <v>Fraude crediticio</v>
          </cell>
        </row>
        <row r="99">
          <cell r="A99" t="str">
            <v>Suplantación</v>
          </cell>
        </row>
        <row r="100">
          <cell r="A100" t="str">
            <v>Falsificación</v>
          </cell>
        </row>
        <row r="101">
          <cell r="A101" t="str">
            <v>Alteración de documentos</v>
          </cell>
        </row>
        <row r="102">
          <cell r="A102" t="str">
            <v>Robo o alteración de información</v>
          </cell>
        </row>
        <row r="103">
          <cell r="A103" t="str">
            <v>Robo</v>
          </cell>
        </row>
        <row r="104">
          <cell r="A104" t="str">
            <v>Apropiación ilícita</v>
          </cell>
        </row>
        <row r="105">
          <cell r="A105" t="str">
            <v>Malversación</v>
          </cell>
        </row>
        <row r="106">
          <cell r="A106" t="str">
            <v>Extorsión</v>
          </cell>
        </row>
        <row r="107">
          <cell r="A107" t="str">
            <v>Daño malicioso contra activos</v>
          </cell>
        </row>
        <row r="108">
          <cell r="A108" t="str">
            <v>Contrabando</v>
          </cell>
        </row>
        <row r="109">
          <cell r="A109" t="str">
            <v>Evasión intencional de obligaciones (impuestos, etc.)</v>
          </cell>
        </row>
        <row r="110">
          <cell r="A110" t="str">
            <v>Dar o aceptar sobornos</v>
          </cell>
        </row>
        <row r="111">
          <cell r="A111" t="str">
            <v>Uso de información privilegiada</v>
          </cell>
        </row>
        <row r="112">
          <cell r="A112" t="str">
            <v>Colusión</v>
          </cell>
        </row>
        <row r="113">
          <cell r="A113" t="str">
            <v>FRAUDE EXTERNO</v>
          </cell>
        </row>
        <row r="114">
          <cell r="A114" t="str">
            <v>Seguridad de Sistemas</v>
          </cell>
        </row>
        <row r="115">
          <cell r="A115" t="str">
            <v>Daños por acción maliciosa (hackers) - Disponibilidad, Integridad</v>
          </cell>
        </row>
        <row r="116">
          <cell r="A116" t="str">
            <v>Robo de información</v>
          </cell>
        </row>
        <row r="117">
          <cell r="A117" t="str">
            <v>Robo y Fraude</v>
          </cell>
        </row>
        <row r="118">
          <cell r="A118" t="str">
            <v>Fraude crediticio</v>
          </cell>
        </row>
        <row r="119">
          <cell r="A119" t="str">
            <v>Suplantación</v>
          </cell>
        </row>
        <row r="120">
          <cell r="A120" t="str">
            <v>Falsificación</v>
          </cell>
        </row>
        <row r="121">
          <cell r="A121" t="str">
            <v>Alteración de documentos</v>
          </cell>
        </row>
        <row r="122">
          <cell r="A122" t="str">
            <v>Robo</v>
          </cell>
        </row>
        <row r="123">
          <cell r="A123" t="str">
            <v>PRACTICAS LABORALES Y SEGURIDAD EN EL CENTRO DE TRABAJO</v>
          </cell>
        </row>
        <row r="124">
          <cell r="A124" t="str">
            <v>Relaciones con empleados</v>
          </cell>
        </row>
        <row r="125">
          <cell r="A125" t="str">
            <v>Compensaciones y otros beneficios para terminar la relación laboral</v>
          </cell>
        </row>
        <row r="126">
          <cell r="A126" t="str">
            <v>Actividad sindical (huelgas, etc.)</v>
          </cell>
        </row>
        <row r="127">
          <cell r="A127" t="str">
            <v>Seguridad en el centro de trabajo</v>
          </cell>
        </row>
        <row r="128">
          <cell r="A128" t="str">
            <v>Compensaciones y otros costos relacionados a accidentes de trabajo</v>
          </cell>
        </row>
        <row r="129">
          <cell r="A129" t="str">
            <v>Practicas discriminatorias</v>
          </cell>
        </row>
        <row r="130">
          <cell r="A130" t="str">
            <v>Demandas contra prácticas discriminatorias</v>
          </cell>
        </row>
        <row r="131">
          <cell r="A131" t="str">
            <v>Demandas referidas a acoso sexual, etc.</v>
          </cell>
        </row>
        <row r="132">
          <cell r="A132" t="str">
            <v>CLIENTES PRODUCTOS Y PRACTICAS DE NEGOCIOS</v>
          </cell>
        </row>
        <row r="133">
          <cell r="A133" t="str">
            <v>Responsabilidades</v>
          </cell>
        </row>
        <row r="134">
          <cell r="A134" t="str">
            <v>Violaciones de confianza y/o prácticas</v>
          </cell>
        </row>
        <row r="135">
          <cell r="A135" t="str">
            <v>Fallas en la protección de información del cliente</v>
          </cell>
        </row>
        <row r="136">
          <cell r="A136" t="str">
            <v>Uso negligente de información confidencial</v>
          </cell>
        </row>
        <row r="137">
          <cell r="A137" t="str">
            <v>Uso negligente de información contable</v>
          </cell>
        </row>
        <row r="138">
          <cell r="A138" t="str">
            <v>Practicas indebidas</v>
          </cell>
        </row>
        <row r="139">
          <cell r="A139" t="str">
            <v>Violación de leyes anti monopolio / anti concertación</v>
          </cell>
        </row>
        <row r="140">
          <cell r="A140" t="str">
            <v>Uso de información privilegiada</v>
          </cell>
        </row>
        <row r="141">
          <cell r="A141" t="str">
            <v>Ejecución de actividades para las que no se cuenta con autorización</v>
          </cell>
        </row>
        <row r="142">
          <cell r="A142" t="str">
            <v>Lavado de dinero</v>
          </cell>
        </row>
        <row r="143">
          <cell r="A143" t="str">
            <v>Prácticas de negocios indebidas</v>
          </cell>
        </row>
        <row r="144">
          <cell r="A144" t="str">
            <v>Prácticas Contables indebidas</v>
          </cell>
        </row>
        <row r="145">
          <cell r="A145" t="str">
            <v>Fallas en Productos</v>
          </cell>
        </row>
        <row r="146">
          <cell r="A146" t="str">
            <v>Productos defectuosos que causan pérdidas a clientes</v>
          </cell>
        </row>
        <row r="147">
          <cell r="A147" t="str">
            <v>Errores en asesorias</v>
          </cell>
        </row>
        <row r="148">
          <cell r="A148" t="str">
            <v>Disputas sobre resultados de asesoría del Banco al cliente</v>
          </cell>
        </row>
        <row r="149">
          <cell r="A149" t="str">
            <v>Conocimiento del Cliente</v>
          </cell>
        </row>
        <row r="150">
          <cell r="A150" t="str">
            <v>Fallas en obtención de información de clientes</v>
          </cell>
        </row>
        <row r="151">
          <cell r="A151" t="str">
            <v>Excesos en límites de exposición de clientes</v>
          </cell>
        </row>
        <row r="152">
          <cell r="A152" t="str">
            <v>FALLAS EN EJECUCION DE PROCESOS</v>
          </cell>
        </row>
        <row r="153">
          <cell r="A153" t="str">
            <v>Captura, Ejecucion y Mantenimiento de transacciones</v>
          </cell>
        </row>
        <row r="154">
          <cell r="A154" t="str">
            <v>Error en ingreso, mantenimiento y/o carga de datos</v>
          </cell>
        </row>
        <row r="155">
          <cell r="A155" t="str">
            <v>Incumplimiento de plazos</v>
          </cell>
        </row>
        <row r="156">
          <cell r="A156" t="str">
            <v>Errores contables</v>
          </cell>
        </row>
        <row r="157">
          <cell r="A157" t="str">
            <v>Fallas en manejo de colaterales</v>
          </cell>
        </row>
        <row r="158">
          <cell r="A158" t="str">
            <v>Monitoreo y Reporte</v>
          </cell>
        </row>
        <row r="159">
          <cell r="A159" t="str">
            <v>Incumplir obligación de reporte</v>
          </cell>
        </row>
        <row r="160">
          <cell r="A160" t="str">
            <v xml:space="preserve">Reporte inexacto </v>
          </cell>
        </row>
        <row r="161">
          <cell r="A161" t="str">
            <v>Fallas en el monitoreo</v>
          </cell>
        </row>
        <row r="162">
          <cell r="A162" t="str">
            <v>Estados Financieros inexactos</v>
          </cell>
        </row>
        <row r="163">
          <cell r="A163" t="str">
            <v>Proceso de captacion de clientes</v>
          </cell>
        </row>
        <row r="164">
          <cell r="A164" t="str">
            <v>Autorizaciones y liberaciones de responsabilidad faltantes</v>
          </cell>
        </row>
        <row r="165">
          <cell r="A165" t="str">
            <v>Poderes incompletos o faltantes</v>
          </cell>
        </row>
        <row r="166">
          <cell r="A166" t="str">
            <v>Proceso de relacion comercial</v>
          </cell>
        </row>
        <row r="167">
          <cell r="A167" t="str">
            <v xml:space="preserve">Información de clientes incorrecta </v>
          </cell>
        </row>
        <row r="168">
          <cell r="A168" t="str">
            <v>Otorgamiento indebido de acceso a cuentas</v>
          </cell>
        </row>
        <row r="169">
          <cell r="A169" t="str">
            <v>Pérdida o daño negligente contra activos del cliente</v>
          </cell>
        </row>
        <row r="170">
          <cell r="A170" t="str">
            <v>Contrapartes, Corresponsales y Proveedores</v>
          </cell>
        </row>
        <row r="171">
          <cell r="A171" t="str">
            <v>Fallas en procesos de contrapartes que generan pérdida (ejemplo errores en canje)</v>
          </cell>
        </row>
        <row r="172">
          <cell r="A172" t="str">
            <v xml:space="preserve">Fallas en procesos de bancos corresponsales que generan pérdida </v>
          </cell>
        </row>
        <row r="173">
          <cell r="A173" t="str">
            <v>Problemas operacionales generados por proveedor de servicios</v>
          </cell>
        </row>
        <row r="174">
          <cell r="A174" t="str">
            <v>Disputas contractuales o judiciales</v>
          </cell>
        </row>
        <row r="175">
          <cell r="A175" t="str">
            <v>DAÑOS CONTRA LA PROPIEDAD</v>
          </cell>
        </row>
        <row r="176">
          <cell r="A176" t="str">
            <v>Desastres y otros eventos</v>
          </cell>
        </row>
        <row r="177">
          <cell r="A177" t="str">
            <v>Inundación</v>
          </cell>
        </row>
        <row r="178">
          <cell r="A178" t="str">
            <v>Sismo</v>
          </cell>
        </row>
        <row r="179">
          <cell r="A179" t="str">
            <v>Incendio</v>
          </cell>
        </row>
        <row r="180">
          <cell r="A180" t="str">
            <v>Accidentes</v>
          </cell>
        </row>
        <row r="181">
          <cell r="A181" t="str">
            <v>Terrorismo</v>
          </cell>
        </row>
        <row r="182">
          <cell r="A182" t="str">
            <v>Vandalismo / conmoción civil</v>
          </cell>
        </row>
        <row r="183">
          <cell r="A183" t="str">
            <v>INTERRUPCIONES Y FALLAS EN SISTEMAS</v>
          </cell>
        </row>
        <row r="184">
          <cell r="A184" t="str">
            <v>Sistemas</v>
          </cell>
        </row>
        <row r="185">
          <cell r="A185" t="str">
            <v>Fallas de Hw</v>
          </cell>
        </row>
        <row r="186">
          <cell r="A186" t="str">
            <v>Fallas de Sw</v>
          </cell>
        </row>
        <row r="187">
          <cell r="A187" t="str">
            <v>Problemas en redes de comunicaciones</v>
          </cell>
        </row>
        <row r="188">
          <cell r="A188" t="str">
            <v>Interrupción o falla de servicios (energía, etc.)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"/>
      <sheetName val="CategoriaTAx"/>
      <sheetName val="RIESGO INHERENTE"/>
      <sheetName val="RIESGO EXISTENTE"/>
      <sheetName val="TRATAMIENTO2"/>
      <sheetName val="Controles"/>
      <sheetName val="Tratamiento"/>
      <sheetName val="Areas"/>
      <sheetName val="Evento"/>
      <sheetName val="Origen"/>
      <sheetName val="Procesos"/>
      <sheetName val="Cargos"/>
      <sheetName val="Data IRO"/>
      <sheetName val="Medición de Riesgos"/>
      <sheetName val="Modelo 1"/>
      <sheetName val="Modelo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Planeamiento y Gestión Estratégica</v>
          </cell>
        </row>
        <row r="3">
          <cell r="B3" t="str">
            <v>Organización y Gobierno Corporativo</v>
          </cell>
        </row>
        <row r="4">
          <cell r="B4" t="str">
            <v>Gestión de Cumplimiento</v>
          </cell>
        </row>
        <row r="5">
          <cell r="B5" t="str">
            <v>Gestión por Procesos</v>
          </cell>
        </row>
        <row r="6">
          <cell r="B6" t="str">
            <v>Gestión de Riesgos</v>
          </cell>
        </row>
        <row r="7">
          <cell r="B7" t="str">
            <v>Mercadeo</v>
          </cell>
        </row>
        <row r="8">
          <cell r="B8" t="str">
            <v>Colocaciones</v>
          </cell>
        </row>
        <row r="9">
          <cell r="B9" t="str">
            <v>Captaciones</v>
          </cell>
        </row>
        <row r="10">
          <cell r="B10" t="str">
            <v>Servicios</v>
          </cell>
        </row>
        <row r="11">
          <cell r="B11" t="str">
            <v>Recuperaciones</v>
          </cell>
        </row>
        <row r="12">
          <cell r="B12" t="str">
            <v>Gestión post-venta</v>
          </cell>
        </row>
        <row r="13">
          <cell r="B13" t="str">
            <v>Gestión Financiera y Contable</v>
          </cell>
        </row>
        <row r="14">
          <cell r="B14" t="str">
            <v>Gestión de Bienes y Servicios</v>
          </cell>
        </row>
        <row r="15">
          <cell r="B15" t="str">
            <v>Gestión de RRHH</v>
          </cell>
        </row>
        <row r="16">
          <cell r="B16" t="str">
            <v>Asesoría y Gestión Legal</v>
          </cell>
        </row>
        <row r="17">
          <cell r="B17" t="str">
            <v>Gestión Tecnológica</v>
          </cell>
        </row>
        <row r="28">
          <cell r="A28" t="str">
            <v>Finanzas corporativas</v>
          </cell>
        </row>
        <row r="29">
          <cell r="A29" t="str">
            <v>Negociación y ventas</v>
          </cell>
        </row>
        <row r="30">
          <cell r="A30" t="str">
            <v>Banca minorista</v>
          </cell>
        </row>
        <row r="31">
          <cell r="A31" t="str">
            <v>Otros servicios</v>
          </cell>
        </row>
        <row r="32">
          <cell r="A32" t="str">
            <v>No Aplica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"/>
      <sheetName val="CategoriaTAx"/>
      <sheetName val="RIESGO INHERENTE"/>
      <sheetName val="RIESGO EXISTENTE"/>
      <sheetName val="TRATAMIENTO2"/>
      <sheetName val="Controles"/>
      <sheetName val="Tratamiento"/>
      <sheetName val="Areas"/>
      <sheetName val="Evento"/>
      <sheetName val="Origen"/>
      <sheetName val="Procesos"/>
      <sheetName val="Cargos"/>
      <sheetName val="Data IRO"/>
      <sheetName val="Medición de Riesgos"/>
      <sheetName val="Modelo 1"/>
      <sheetName val="Modelo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Planeamiento y Gestión Estratégica</v>
          </cell>
        </row>
        <row r="3">
          <cell r="B3" t="str">
            <v>Organización y Gobierno Corporativo</v>
          </cell>
        </row>
        <row r="4">
          <cell r="B4" t="str">
            <v>Gestión de Cumplimiento</v>
          </cell>
        </row>
        <row r="5">
          <cell r="B5" t="str">
            <v>Gestión por Procesos</v>
          </cell>
        </row>
        <row r="6">
          <cell r="B6" t="str">
            <v>Gestión de Riesgos</v>
          </cell>
        </row>
        <row r="7">
          <cell r="B7" t="str">
            <v>Mercadeo</v>
          </cell>
        </row>
        <row r="8">
          <cell r="B8" t="str">
            <v>Colocaciones</v>
          </cell>
        </row>
        <row r="9">
          <cell r="B9" t="str">
            <v>Captaciones</v>
          </cell>
        </row>
        <row r="10">
          <cell r="B10" t="str">
            <v>Servicios</v>
          </cell>
        </row>
        <row r="11">
          <cell r="B11" t="str">
            <v>Recuperaciones</v>
          </cell>
        </row>
        <row r="12">
          <cell r="B12" t="str">
            <v>Gestión post-venta</v>
          </cell>
        </row>
        <row r="13">
          <cell r="B13" t="str">
            <v>Gestión Financiera y Contable</v>
          </cell>
        </row>
        <row r="14">
          <cell r="B14" t="str">
            <v>Gestión de Bienes y Servicios</v>
          </cell>
        </row>
        <row r="15">
          <cell r="B15" t="str">
            <v>Gestión de RRHH</v>
          </cell>
        </row>
        <row r="16">
          <cell r="B16" t="str">
            <v>Asesoría y Gestión Legal</v>
          </cell>
        </row>
        <row r="17">
          <cell r="B17" t="str">
            <v>Gestión Tecnológica</v>
          </cell>
        </row>
        <row r="28">
          <cell r="A28" t="str">
            <v>Finanzas corporativas</v>
          </cell>
        </row>
        <row r="29">
          <cell r="A29" t="str">
            <v>Negociación y ventas</v>
          </cell>
        </row>
        <row r="30">
          <cell r="A30" t="str">
            <v>Banca minorista</v>
          </cell>
        </row>
        <row r="31">
          <cell r="A31" t="str">
            <v>Otros servicios</v>
          </cell>
        </row>
        <row r="32">
          <cell r="A32" t="str">
            <v>No Aplica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J30"/>
  <sheetViews>
    <sheetView showGridLines="0" tabSelected="1" zoomScaleNormal="100" workbookViewId="0">
      <selection activeCell="K11" sqref="K11"/>
    </sheetView>
  </sheetViews>
  <sheetFormatPr baseColWidth="10" defaultColWidth="11.44140625" defaultRowHeight="18" customHeight="1"/>
  <cols>
    <col min="1" max="1" width="3" style="120" customWidth="1"/>
    <col min="2" max="4" width="20" style="120" customWidth="1"/>
    <col min="5" max="5" width="5.44140625" style="120" customWidth="1"/>
    <col min="6" max="8" width="20" style="120" customWidth="1"/>
    <col min="9" max="16384" width="11.44140625" style="120"/>
  </cols>
  <sheetData>
    <row r="1" spans="1:10" ht="18" customHeight="1">
      <c r="A1" s="120" t="s">
        <v>409</v>
      </c>
    </row>
    <row r="2" spans="1:10" ht="18" customHeight="1">
      <c r="C2" s="134" t="s">
        <v>419</v>
      </c>
    </row>
    <row r="3" spans="1:10" ht="18" customHeight="1">
      <c r="B3" s="124"/>
      <c r="C3" s="124"/>
      <c r="D3" s="124"/>
      <c r="E3" s="124"/>
      <c r="G3" s="142" t="s">
        <v>417</v>
      </c>
      <c r="H3" s="142" t="s">
        <v>418</v>
      </c>
    </row>
    <row r="4" spans="1:10" ht="16.5" customHeight="1">
      <c r="B4" s="135" t="s">
        <v>412</v>
      </c>
      <c r="C4" s="255" t="s">
        <v>318</v>
      </c>
      <c r="D4" s="256"/>
      <c r="F4" s="135" t="s">
        <v>415</v>
      </c>
      <c r="G4" s="136" t="s">
        <v>511</v>
      </c>
      <c r="H4" s="140"/>
    </row>
    <row r="5" spans="1:10" ht="16.5" customHeight="1">
      <c r="B5" s="135" t="s">
        <v>413</v>
      </c>
      <c r="C5" s="257" t="s">
        <v>323</v>
      </c>
      <c r="D5" s="258"/>
      <c r="F5" s="135" t="s">
        <v>411</v>
      </c>
      <c r="G5" s="136" t="s">
        <v>511</v>
      </c>
      <c r="H5" s="138"/>
    </row>
    <row r="6" spans="1:10" ht="16.5" customHeight="1">
      <c r="B6" s="135" t="s">
        <v>414</v>
      </c>
      <c r="C6" s="259"/>
      <c r="D6" s="260"/>
      <c r="F6" s="135" t="s">
        <v>416</v>
      </c>
      <c r="G6" s="137" t="s">
        <v>512</v>
      </c>
      <c r="H6" s="141"/>
    </row>
    <row r="7" spans="1:10" ht="16.5" customHeight="1"/>
    <row r="8" spans="1:10" ht="13.5" customHeight="1">
      <c r="B8" s="135" t="s">
        <v>410</v>
      </c>
      <c r="C8" s="139">
        <v>43136</v>
      </c>
    </row>
    <row r="9" spans="1:10" ht="18" customHeight="1" thickBot="1">
      <c r="B9" s="121"/>
      <c r="C9" s="122"/>
      <c r="D9" s="122"/>
      <c r="E9" s="123"/>
    </row>
    <row r="10" spans="1:10" s="124" customFormat="1" ht="18" customHeight="1" thickBot="1">
      <c r="B10" s="252" t="s">
        <v>420</v>
      </c>
      <c r="C10" s="253"/>
      <c r="D10" s="253"/>
      <c r="E10" s="253"/>
      <c r="F10" s="253"/>
      <c r="G10" s="253"/>
      <c r="H10" s="254"/>
      <c r="J10" s="120"/>
    </row>
    <row r="11" spans="1:10" ht="18" customHeight="1">
      <c r="B11" s="125"/>
      <c r="H11" s="126"/>
    </row>
    <row r="12" spans="1:10" ht="18" customHeight="1">
      <c r="B12" s="125"/>
      <c r="H12" s="126"/>
    </row>
    <row r="13" spans="1:10" ht="18" customHeight="1">
      <c r="B13" s="125"/>
      <c r="H13" s="126"/>
    </row>
    <row r="14" spans="1:10" ht="18" customHeight="1">
      <c r="B14" s="125"/>
      <c r="H14" s="126"/>
    </row>
    <row r="15" spans="1:10" ht="18" customHeight="1">
      <c r="B15" s="125"/>
      <c r="H15" s="126"/>
    </row>
    <row r="16" spans="1:10" ht="18" customHeight="1">
      <c r="B16" s="125"/>
      <c r="H16" s="126"/>
    </row>
    <row r="17" spans="2:8" ht="18" customHeight="1">
      <c r="B17" s="125"/>
      <c r="H17" s="126"/>
    </row>
    <row r="18" spans="2:8" ht="18" customHeight="1">
      <c r="B18" s="125"/>
      <c r="H18" s="126"/>
    </row>
    <row r="19" spans="2:8" ht="18" customHeight="1">
      <c r="B19" s="125"/>
      <c r="H19" s="126"/>
    </row>
    <row r="20" spans="2:8" ht="18" customHeight="1">
      <c r="B20" s="125"/>
      <c r="H20" s="126"/>
    </row>
    <row r="21" spans="2:8" ht="18" customHeight="1">
      <c r="B21" s="125"/>
      <c r="H21" s="126"/>
    </row>
    <row r="22" spans="2:8" ht="18" customHeight="1">
      <c r="B22" s="125"/>
      <c r="H22" s="126"/>
    </row>
    <row r="23" spans="2:8" ht="102.75" customHeight="1">
      <c r="B23" s="125"/>
      <c r="H23" s="126"/>
    </row>
    <row r="24" spans="2:8" ht="15" customHeight="1">
      <c r="B24" s="125"/>
      <c r="H24" s="126"/>
    </row>
    <row r="25" spans="2:8" s="128" customFormat="1" ht="18" customHeight="1">
      <c r="B25" s="127"/>
      <c r="H25" s="129"/>
    </row>
    <row r="26" spans="2:8" s="128" customFormat="1" ht="18" customHeight="1" thickBot="1">
      <c r="B26" s="127"/>
      <c r="H26" s="129"/>
    </row>
    <row r="27" spans="2:8" ht="18" customHeight="1" thickBot="1">
      <c r="B27" s="130" t="s">
        <v>421</v>
      </c>
      <c r="C27" s="131"/>
      <c r="D27" s="131"/>
      <c r="E27" s="131"/>
      <c r="F27" s="131"/>
      <c r="G27" s="131"/>
      <c r="H27" s="132"/>
    </row>
    <row r="28" spans="2:8" ht="18" customHeight="1">
      <c r="B28" s="143"/>
      <c r="C28" s="144"/>
      <c r="D28" s="144"/>
      <c r="E28" s="144"/>
      <c r="F28" s="144"/>
      <c r="G28" s="144"/>
      <c r="H28" s="145"/>
    </row>
    <row r="29" spans="2:8" ht="18" customHeight="1">
      <c r="B29" s="146"/>
      <c r="C29" s="147"/>
      <c r="D29" s="147"/>
      <c r="E29" s="147"/>
      <c r="F29" s="147"/>
      <c r="G29" s="147"/>
      <c r="H29" s="148"/>
    </row>
    <row r="30" spans="2:8" ht="18" customHeight="1" thickBot="1">
      <c r="B30" s="133"/>
      <c r="C30" s="149"/>
      <c r="D30" s="149"/>
      <c r="E30" s="149"/>
      <c r="F30" s="149"/>
      <c r="G30" s="149"/>
      <c r="H30" s="150"/>
    </row>
  </sheetData>
  <mergeCells count="4">
    <mergeCell ref="B10:H10"/>
    <mergeCell ref="C4:D4"/>
    <mergeCell ref="C5:D5"/>
    <mergeCell ref="C6:D6"/>
  </mergeCells>
  <dataValidations count="1">
    <dataValidation type="list" allowBlank="1" showInputMessage="1" showErrorMessage="1" sqref="C5:D5" xr:uid="{00000000-0002-0000-0000-000000000000}">
      <formula1>INDIRECT(SUBSTITUTE(SUBSTITUTE(C4," ","_"),",",""))</formula1>
    </dataValidation>
  </dataValidations>
  <printOptions horizontalCentered="1"/>
  <pageMargins left="0.59055118110236227" right="0.59055118110236227" top="0.59055118110236227" bottom="0.59055118110236227" header="0" footer="0.39370078740157483"/>
  <pageSetup scale="55" fitToHeight="2" orientation="portrait" r:id="rId1"/>
  <headerFooter alignWithMargins="0">
    <oddFooter>&amp;CPágina 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Parámetros!$C$3:$C$19</xm:f>
          </x14:formula1>
          <xm:sqref>C4:D4</xm:sqref>
        </x14:dataValidation>
        <x14:dataValidation type="list" allowBlank="1" showInputMessage="1" showErrorMessage="1" xr:uid="{00000000-0002-0000-0000-000002000000}">
          <x14:formula1>
            <xm:f>Parámetros!$C$47:$C$51</xm:f>
          </x14:formula1>
          <xm:sqref>C6:D6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P37"/>
  <sheetViews>
    <sheetView showGridLines="0" zoomScale="130" zoomScaleNormal="130" workbookViewId="0">
      <pane xSplit="8" ySplit="5" topLeftCell="I6" activePane="bottomRight" state="frozen"/>
      <selection pane="topRight" activeCell="I1" sqref="I1"/>
      <selection pane="bottomLeft" activeCell="A10" sqref="A10"/>
      <selection pane="bottomRight" activeCell="S7" sqref="S7"/>
    </sheetView>
  </sheetViews>
  <sheetFormatPr baseColWidth="10" defaultColWidth="11.44140625" defaultRowHeight="10.199999999999999" outlineLevelCol="1"/>
  <cols>
    <col min="1" max="1" width="10.33203125" style="1" customWidth="1"/>
    <col min="2" max="4" width="11.88671875" style="1" hidden="1" customWidth="1" outlineLevel="1"/>
    <col min="5" max="6" width="14.109375" style="1" hidden="1" customWidth="1" outlineLevel="1"/>
    <col min="7" max="7" width="13" style="83" customWidth="1" collapsed="1"/>
    <col min="8" max="8" width="32.33203125" style="2" customWidth="1"/>
    <col min="9" max="11" width="19" style="2" customWidth="1" outlineLevel="1"/>
    <col min="12" max="15" width="8.88671875" style="2" customWidth="1"/>
    <col min="16" max="16" width="11.5546875" style="2" customWidth="1"/>
    <col min="17" max="17" width="10.44140625" style="1" customWidth="1" outlineLevel="1"/>
    <col min="18" max="19" width="14" style="1" customWidth="1" outlineLevel="1"/>
    <col min="20" max="20" width="10.44140625" style="1" customWidth="1" outlineLevel="1"/>
    <col min="21" max="21" width="13.33203125" style="1" customWidth="1" outlineLevel="1"/>
    <col min="22" max="22" width="17" style="1" customWidth="1" outlineLevel="1"/>
    <col min="23" max="23" width="12.5546875" style="1" customWidth="1"/>
    <col min="24" max="24" width="8" style="1" customWidth="1"/>
    <col min="25" max="25" width="7.6640625" style="1" customWidth="1"/>
    <col min="26" max="26" width="12.44140625" style="2" customWidth="1"/>
    <col min="27" max="27" width="33.109375" style="1" customWidth="1"/>
    <col min="28" max="29" width="12" style="2" customWidth="1"/>
    <col min="30" max="30" width="16.5546875" style="1" customWidth="1"/>
    <col min="31" max="31" width="11.44140625" style="2" customWidth="1"/>
    <col min="32" max="32" width="13.109375" style="2" customWidth="1"/>
    <col min="33" max="33" width="11.44140625" style="2" customWidth="1"/>
    <col min="34" max="34" width="13.5546875" style="2" customWidth="1"/>
    <col min="35" max="35" width="13.33203125" style="2" customWidth="1"/>
    <col min="36" max="38" width="11.44140625" style="4" customWidth="1"/>
    <col min="39" max="39" width="4.6640625" style="4" hidden="1" customWidth="1" outlineLevel="1"/>
    <col min="40" max="45" width="5.44140625" style="4" hidden="1" customWidth="1" outlineLevel="1"/>
    <col min="46" max="46" width="12.6640625" style="4" hidden="1" customWidth="1" outlineLevel="1"/>
    <col min="47" max="47" width="11.44140625" style="5" customWidth="1" collapsed="1"/>
    <col min="48" max="50" width="11.44140625" style="5" customWidth="1"/>
    <col min="51" max="54" width="11.44140625" style="4" customWidth="1" outlineLevel="1"/>
    <col min="55" max="55" width="11.44140625" style="1" customWidth="1"/>
    <col min="56" max="56" width="11.44140625" style="2" customWidth="1"/>
    <col min="57" max="57" width="11.33203125" style="5" customWidth="1"/>
    <col min="58" max="58" width="6" style="84" customWidth="1"/>
    <col min="59" max="59" width="38.44140625" style="1" customWidth="1"/>
    <col min="60" max="60" width="12" style="5" customWidth="1"/>
    <col min="61" max="61" width="12" style="212" customWidth="1"/>
    <col min="62" max="62" width="11.44140625" style="1" customWidth="1" outlineLevel="1"/>
    <col min="63" max="64" width="13.109375" style="5" customWidth="1" outlineLevel="1"/>
    <col min="65" max="65" width="24.44140625" style="1" customWidth="1" outlineLevel="1"/>
    <col min="66" max="66" width="11.44140625" style="4" customWidth="1" outlineLevel="1"/>
    <col min="67" max="67" width="11.44140625" style="1" customWidth="1"/>
    <col min="68" max="68" width="11.44140625" style="2" customWidth="1"/>
    <col min="69" max="16384" width="11.44140625" style="1"/>
  </cols>
  <sheetData>
    <row r="1" spans="1:68">
      <c r="G1" s="87"/>
      <c r="AE1" s="1"/>
    </row>
    <row r="2" spans="1:68" ht="13.8">
      <c r="C2" s="57" t="s">
        <v>48</v>
      </c>
      <c r="D2" s="8"/>
      <c r="E2" s="9"/>
      <c r="G2" s="87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68" ht="10.8" thickBot="1">
      <c r="A3" s="10"/>
      <c r="B3" s="7"/>
      <c r="C3" s="11"/>
      <c r="D3" s="8"/>
      <c r="E3" s="9"/>
      <c r="G3" s="87"/>
      <c r="H3" s="87"/>
      <c r="I3" s="6"/>
      <c r="J3" s="6"/>
      <c r="K3" s="1"/>
      <c r="U3" s="70"/>
      <c r="V3" s="7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68" s="4" customFormat="1" ht="20.25" customHeight="1" thickBot="1">
      <c r="G4" s="207"/>
      <c r="Q4" s="241" t="s">
        <v>49</v>
      </c>
      <c r="R4" s="242"/>
      <c r="S4" s="242"/>
      <c r="T4" s="242"/>
      <c r="U4" s="242"/>
      <c r="V4" s="242"/>
      <c r="W4" s="243"/>
      <c r="X4" s="250" t="s">
        <v>50</v>
      </c>
      <c r="Y4" s="250"/>
      <c r="Z4" s="250"/>
      <c r="AA4" s="250"/>
      <c r="AB4" s="250"/>
      <c r="AC4" s="250"/>
      <c r="AD4" s="250"/>
      <c r="AE4" s="246" t="s">
        <v>32</v>
      </c>
      <c r="AF4" s="247"/>
      <c r="AG4" s="247"/>
      <c r="AH4" s="247"/>
      <c r="AI4" s="247"/>
      <c r="AJ4" s="247" t="s">
        <v>33</v>
      </c>
      <c r="AK4" s="248"/>
      <c r="AL4" s="53"/>
      <c r="AM4" s="53"/>
      <c r="AN4" s="53"/>
      <c r="AO4" s="53"/>
      <c r="AP4" s="53"/>
      <c r="AQ4" s="53"/>
      <c r="AR4" s="53"/>
      <c r="AS4" s="53"/>
      <c r="AT4" s="53"/>
      <c r="AY4" s="251" t="s">
        <v>58</v>
      </c>
      <c r="AZ4" s="251"/>
      <c r="BA4" s="251"/>
      <c r="BB4" s="251"/>
      <c r="BC4" s="251"/>
      <c r="BD4" s="251"/>
      <c r="BE4" s="249" t="s">
        <v>59</v>
      </c>
      <c r="BF4" s="249"/>
      <c r="BG4" s="249"/>
      <c r="BH4" s="249"/>
      <c r="BI4" s="249"/>
      <c r="BJ4" s="249"/>
      <c r="BK4" s="249"/>
      <c r="BL4" s="249"/>
      <c r="BM4" s="244" t="s">
        <v>383</v>
      </c>
      <c r="BN4" s="245"/>
      <c r="BO4" s="236" t="s">
        <v>485</v>
      </c>
      <c r="BP4" s="237"/>
    </row>
    <row r="5" spans="1:68" ht="31.2" thickBot="1">
      <c r="A5" s="40" t="s">
        <v>0</v>
      </c>
      <c r="B5" s="41" t="s">
        <v>1</v>
      </c>
      <c r="C5" s="41" t="s">
        <v>2</v>
      </c>
      <c r="D5" s="41" t="s">
        <v>3</v>
      </c>
      <c r="E5" s="41" t="s">
        <v>408</v>
      </c>
      <c r="F5" s="41" t="s">
        <v>407</v>
      </c>
      <c r="G5" s="42" t="s">
        <v>422</v>
      </c>
      <c r="H5" s="197" t="s">
        <v>4</v>
      </c>
      <c r="I5" s="42" t="s">
        <v>404</v>
      </c>
      <c r="J5" s="42" t="s">
        <v>405</v>
      </c>
      <c r="K5" s="42" t="s">
        <v>406</v>
      </c>
      <c r="L5" s="41" t="s">
        <v>425</v>
      </c>
      <c r="M5" s="41" t="s">
        <v>426</v>
      </c>
      <c r="N5" s="41" t="s">
        <v>463</v>
      </c>
      <c r="O5" s="41" t="s">
        <v>429</v>
      </c>
      <c r="P5" s="44" t="s">
        <v>378</v>
      </c>
      <c r="Q5" s="44" t="s">
        <v>400</v>
      </c>
      <c r="R5" s="198" t="s">
        <v>399</v>
      </c>
      <c r="S5" s="199" t="s">
        <v>403</v>
      </c>
      <c r="T5" s="44" t="s">
        <v>5</v>
      </c>
      <c r="U5" s="198" t="s">
        <v>45</v>
      </c>
      <c r="V5" s="199" t="s">
        <v>6</v>
      </c>
      <c r="W5" s="44" t="s">
        <v>57</v>
      </c>
      <c r="X5" s="43" t="s">
        <v>41</v>
      </c>
      <c r="Y5" s="43" t="s">
        <v>392</v>
      </c>
      <c r="Z5" s="43" t="s">
        <v>465</v>
      </c>
      <c r="AA5" s="43" t="s">
        <v>466</v>
      </c>
      <c r="AB5" s="43" t="s">
        <v>474</v>
      </c>
      <c r="AC5" s="43" t="s">
        <v>475</v>
      </c>
      <c r="AD5" s="43" t="s">
        <v>469</v>
      </c>
      <c r="AE5" s="47" t="s">
        <v>34</v>
      </c>
      <c r="AF5" s="44" t="s">
        <v>35</v>
      </c>
      <c r="AG5" s="44" t="s">
        <v>36</v>
      </c>
      <c r="AH5" s="44" t="s">
        <v>37</v>
      </c>
      <c r="AI5" s="44" t="s">
        <v>38</v>
      </c>
      <c r="AJ5" s="44" t="s">
        <v>39</v>
      </c>
      <c r="AK5" s="48" t="s">
        <v>40</v>
      </c>
      <c r="AL5" s="52" t="s">
        <v>375</v>
      </c>
      <c r="AM5" s="238" t="s">
        <v>470</v>
      </c>
      <c r="AN5" s="239"/>
      <c r="AO5" s="239"/>
      <c r="AP5" s="239"/>
      <c r="AQ5" s="239"/>
      <c r="AR5" s="239"/>
      <c r="AS5" s="240"/>
      <c r="AT5" s="44" t="s">
        <v>464</v>
      </c>
      <c r="AU5" s="44" t="s">
        <v>376</v>
      </c>
      <c r="AV5" s="54" t="s">
        <v>377</v>
      </c>
      <c r="AW5" s="51" t="s">
        <v>471</v>
      </c>
      <c r="AX5" s="51" t="s">
        <v>395</v>
      </c>
      <c r="AY5" s="44" t="s">
        <v>401</v>
      </c>
      <c r="AZ5" s="44" t="s">
        <v>399</v>
      </c>
      <c r="BA5" s="44" t="s">
        <v>5</v>
      </c>
      <c r="BB5" s="44" t="s">
        <v>45</v>
      </c>
      <c r="BC5" s="44" t="s">
        <v>402</v>
      </c>
      <c r="BD5" s="44" t="s">
        <v>57</v>
      </c>
      <c r="BE5" s="44" t="s">
        <v>59</v>
      </c>
      <c r="BF5" s="43" t="s">
        <v>64</v>
      </c>
      <c r="BG5" s="43" t="s">
        <v>60</v>
      </c>
      <c r="BH5" s="44" t="s">
        <v>473</v>
      </c>
      <c r="BI5" s="211" t="s">
        <v>376</v>
      </c>
      <c r="BJ5" s="43" t="s">
        <v>61</v>
      </c>
      <c r="BK5" s="43" t="s">
        <v>62</v>
      </c>
      <c r="BL5" s="43" t="s">
        <v>63</v>
      </c>
      <c r="BM5" s="55" t="s">
        <v>472</v>
      </c>
      <c r="BN5" s="56" t="s">
        <v>384</v>
      </c>
      <c r="BO5" s="44" t="s">
        <v>486</v>
      </c>
      <c r="BP5" s="48" t="s">
        <v>487</v>
      </c>
    </row>
    <row r="6" spans="1:68" s="3" customFormat="1" ht="46.5" customHeight="1" thickTop="1">
      <c r="A6" s="118">
        <v>1</v>
      </c>
      <c r="B6" s="100"/>
      <c r="C6" s="101"/>
      <c r="D6" s="101"/>
      <c r="E6" s="101"/>
      <c r="F6" s="101"/>
      <c r="G6" s="86" t="s">
        <v>514</v>
      </c>
      <c r="H6" s="200" t="str">
        <f>IF(I6="","",CONCATENATE(I6," ","podría ocasionar"," ",J6," ", "generando"," ",K6))</f>
        <v>Fallas en registro u omisión de reporte de clientes (Funcionario o…)  podría ocasionar no reportemos operacions sospechosas o inusuales a SBS generando multa de SBS o UIF</v>
      </c>
      <c r="I6" s="102" t="s">
        <v>517</v>
      </c>
      <c r="J6" s="102" t="s">
        <v>513</v>
      </c>
      <c r="K6" s="102" t="s">
        <v>516</v>
      </c>
      <c r="L6" s="103" t="s">
        <v>436</v>
      </c>
      <c r="M6" s="103" t="s">
        <v>439</v>
      </c>
      <c r="N6" s="103" t="s">
        <v>461</v>
      </c>
      <c r="O6" s="233" t="s">
        <v>435</v>
      </c>
      <c r="P6" s="101" t="s">
        <v>520</v>
      </c>
      <c r="Q6" s="104" t="str">
        <f>IF(R6="","",IF(R6&gt;Parámetros!$T$14,IF(R6&gt;Parámetros!$T$13,IF(R6&gt;Parámetros!$T$12,IF(R6&gt;Parámetros!$T$11,"Muy Alta","Alta"),"Media"),"Baja"),"Muy Baja"))</f>
        <v>Muy Alta</v>
      </c>
      <c r="R6" s="193">
        <v>0.8</v>
      </c>
      <c r="S6" s="105" t="s">
        <v>521</v>
      </c>
      <c r="T6" s="104" t="str">
        <f>IF(U6="","",IF(U6&gt;Parámetros!$T$7,IF(U6&gt;Parámetros!$T$6,IF(U6&gt;Parámetros!$T$5,IF(U6&gt;Parámetros!$T$4,"Catastrófico","Mayor"),"Moderado"),"Menor"),"Insignificante"))</f>
        <v>Moderado</v>
      </c>
      <c r="U6" s="107">
        <f>100*4050</f>
        <v>405000</v>
      </c>
      <c r="V6" s="108" t="s">
        <v>522</v>
      </c>
      <c r="W6" s="109" t="str">
        <f>IF(Q6="","",INDEX(Parámetros!$Y$13:$AC$17,VLOOKUP(Q6,Parámetros!$W$13:$X$17,2,FALSE),HLOOKUP(T6,Parámetros!$Y$11:$AC$12,2,FALSE)))</f>
        <v>Alto</v>
      </c>
      <c r="X6" s="110">
        <v>1</v>
      </c>
      <c r="Y6" s="195"/>
      <c r="Z6" s="108"/>
      <c r="AA6" s="102" t="s">
        <v>523</v>
      </c>
      <c r="AB6" s="233" t="s">
        <v>524</v>
      </c>
      <c r="AC6" s="103" t="s">
        <v>367</v>
      </c>
      <c r="AD6" s="100"/>
      <c r="AE6" s="108"/>
      <c r="AF6" s="108"/>
      <c r="AG6" s="108"/>
      <c r="AH6" s="103"/>
      <c r="AI6" s="103"/>
      <c r="AJ6" s="101"/>
      <c r="AK6" s="101"/>
      <c r="AL6" s="100"/>
      <c r="AM6" s="111" t="str">
        <f>IF(AE6="","",VLOOKUP(AE6,Parámetros!$AE$3:$AF$5,2,FALSE))</f>
        <v/>
      </c>
      <c r="AN6" s="111" t="str">
        <f>IF(AF6="","",VLOOKUP(AF6,Parámetros!$AH$3:$AI$5,2,FALSE))</f>
        <v/>
      </c>
      <c r="AO6" s="111" t="str">
        <f>IF(AG6="","",VLOOKUP(AG6,Parámetros!$AK$3:$AL$4,2,FALSE))</f>
        <v/>
      </c>
      <c r="AP6" s="111" t="str">
        <f>IF(AH6="","",VLOOKUP(AH6,Parámetros!$AN$3:$AO$5,2,FALSE))</f>
        <v/>
      </c>
      <c r="AQ6" s="111" t="str">
        <f>IF(AI6="","",VLOOKUP(AI6,Parámetros!$AQ$3:$AR$5,2,FALSE))</f>
        <v/>
      </c>
      <c r="AR6" s="111" t="str">
        <f>IF(AJ6="","",VLOOKUP(AJ6,Parámetros!$AT$3:$AU$4,2,FALSE))</f>
        <v/>
      </c>
      <c r="AS6" s="111" t="str">
        <f>IF(AK6="","",VLOOKUP(AK6,Parámetros!$AT$3:$AU$4,2,FALSE))</f>
        <v/>
      </c>
      <c r="AT6" s="106">
        <f>IF(R6="","",VLOOKUP(Q6,Parámetros!$R$10:$T$14,3,FALSE))</f>
        <v>1</v>
      </c>
      <c r="AU6" s="112" t="e">
        <f>+(AM6*0.2+AN6*0.2+AO6*0.2+AP6*0.2+AQ6*0.2)*(AR6*0.5+AS6*0.5)</f>
        <v>#VALUE!</v>
      </c>
      <c r="AV6" s="104" t="e">
        <f>+IF(AU6&lt;0.9,IF(AU6&lt;0.6,IF(AU6&gt;0.3,"Moderado","Insastisfactorio"),"Bueno"),"Excelente")</f>
        <v>#VALUE!</v>
      </c>
      <c r="AW6" s="113"/>
      <c r="AX6" s="113"/>
      <c r="AY6" s="104" t="str">
        <f>IF(AZ6="","",IF(AZ6&lt;=Parámetros!$T$11,IF(AZ6&lt;=Parámetros!$T$12,IF(AZ6&lt;=Parámetros!$T$13,IF(AZ6&lt;=Parámetros!$T$14,"Muy Baja","Baja"),"Media"),"Alta"),"Muy Alta"))</f>
        <v>Muy Alta</v>
      </c>
      <c r="AZ6" s="114">
        <f>IF(AT6="","",IF(AW6="",AT6,(AT6*(1-AW6))))</f>
        <v>1</v>
      </c>
      <c r="BA6" s="104" t="str">
        <f>IF(BB6="","",IF(BB6&gt;Parámetros!$T$7,IF(BB6&gt;Parámetros!$T$6,IF(BB6&gt;Parámetros!$T$5,IF(BB6&gt;Parámetros!$T$4,"Catastrófico","Mayor"),"Moderado"),"Menor"),"Insignificante"))</f>
        <v>Moderado</v>
      </c>
      <c r="BB6" s="115">
        <f>IF(U6="","",IF(AX6="",U6,ROUND(U6*(1-AX6),1)))</f>
        <v>405000</v>
      </c>
      <c r="BC6" s="116">
        <f>IF(BB6="","",IF(AZ6*BB6=0,"",AZ6*BB6))</f>
        <v>405000</v>
      </c>
      <c r="BD6" s="109" t="str">
        <f>IF(BC6="","",INDEX(Parámetros!$Y$13:$AC$17,VLOOKUP(AY6,Parámetros!$W$13:$X$17,2,FALSE),HLOOKUP(BA6,Parámetros!$Y$11:$AC$12,2,FALSE)))</f>
        <v>Alto</v>
      </c>
      <c r="BE6" s="101"/>
      <c r="BF6" s="117"/>
      <c r="BG6" s="103"/>
      <c r="BH6" s="100"/>
      <c r="BI6" s="213" t="str">
        <f>IF(BH6="","",VLOOKUP(BH6,Parámetros!$AW$3:$AX$6,2,FALSE))</f>
        <v/>
      </c>
      <c r="BJ6" s="103"/>
      <c r="BK6" s="202"/>
      <c r="BL6" s="202"/>
      <c r="BM6" s="102"/>
      <c r="BN6" s="100"/>
      <c r="BO6" s="116" t="str">
        <f>IF(BE6="Aceptar",BC6,IF(BI6="","",(BC6*(1-BI6))))</f>
        <v/>
      </c>
      <c r="BP6" s="109" t="str">
        <f>IF(BO6="","",IF(BO6&lt;=Parámetros!R35,Parámetros!S35,IF(BO6&lt;=Parámetros!R34,Parámetros!S34,IF(BO6&gt;=Parámetros!R33,Parámetros!S33,IF(BO6&gt;=Parámetros!R32,Parámetros!S32,Parámetros!S31)))))</f>
        <v/>
      </c>
    </row>
    <row r="7" spans="1:68" s="3" customFormat="1" ht="46.5" customHeight="1">
      <c r="A7" s="118"/>
      <c r="B7" s="100"/>
      <c r="C7" s="101"/>
      <c r="D7" s="101"/>
      <c r="E7" s="101"/>
      <c r="F7" s="101"/>
      <c r="G7" s="86"/>
      <c r="H7" s="200"/>
      <c r="I7" s="102"/>
      <c r="J7" s="102"/>
      <c r="K7" s="102"/>
      <c r="L7" s="103"/>
      <c r="M7" s="103"/>
      <c r="N7" s="103"/>
      <c r="O7" s="233"/>
      <c r="P7" s="101"/>
      <c r="Q7" s="104"/>
      <c r="R7" s="193"/>
      <c r="S7" s="105"/>
      <c r="T7" s="104"/>
      <c r="U7" s="107"/>
      <c r="V7" s="108"/>
      <c r="W7" s="109"/>
      <c r="X7" s="110">
        <v>2</v>
      </c>
      <c r="Y7" s="195"/>
      <c r="Z7" s="108"/>
      <c r="AA7" s="102" t="s">
        <v>526</v>
      </c>
      <c r="AB7" s="233" t="s">
        <v>525</v>
      </c>
      <c r="AC7" s="103" t="s">
        <v>527</v>
      </c>
      <c r="AD7" s="100" t="s">
        <v>528</v>
      </c>
      <c r="AE7" s="108" t="s">
        <v>366</v>
      </c>
      <c r="AF7" s="108" t="s">
        <v>42</v>
      </c>
      <c r="AG7" s="108" t="s">
        <v>43</v>
      </c>
      <c r="AH7" s="103" t="s">
        <v>44</v>
      </c>
      <c r="AI7" s="103" t="s">
        <v>478</v>
      </c>
      <c r="AJ7" s="101" t="s">
        <v>373</v>
      </c>
      <c r="AK7" s="101" t="s">
        <v>374</v>
      </c>
      <c r="AL7" s="100"/>
      <c r="AM7" s="111"/>
      <c r="AN7" s="111"/>
      <c r="AO7" s="111"/>
      <c r="AP7" s="111"/>
      <c r="AQ7" s="111"/>
      <c r="AR7" s="111"/>
      <c r="AS7" s="111"/>
      <c r="AT7" s="106"/>
      <c r="AU7" s="112"/>
      <c r="AV7" s="104"/>
      <c r="AW7" s="113"/>
      <c r="AX7" s="113"/>
      <c r="AY7" s="104"/>
      <c r="AZ7" s="114"/>
      <c r="BA7" s="104"/>
      <c r="BB7" s="115"/>
      <c r="BC7" s="116"/>
      <c r="BD7" s="109"/>
      <c r="BE7" s="101"/>
      <c r="BF7" s="117"/>
      <c r="BG7" s="103"/>
      <c r="BH7" s="100"/>
      <c r="BI7" s="213"/>
      <c r="BJ7" s="103"/>
      <c r="BK7" s="202"/>
      <c r="BL7" s="202"/>
      <c r="BM7" s="102"/>
      <c r="BN7" s="100"/>
      <c r="BO7" s="116"/>
      <c r="BP7" s="109"/>
    </row>
    <row r="8" spans="1:68" s="3" customFormat="1" ht="46.5" customHeight="1">
      <c r="A8" s="119">
        <v>2</v>
      </c>
      <c r="B8" s="88"/>
      <c r="C8" s="89"/>
      <c r="D8" s="89"/>
      <c r="E8" s="89"/>
      <c r="F8" s="89"/>
      <c r="G8" s="85"/>
      <c r="H8" s="201" t="str">
        <f t="shared" ref="H8:H16" si="0">IF(I8="","",CONCATENATE(I8," ","podría ocasionar"," ",J8," ", "generando"," ",K8))</f>
        <v>Error en el registro de clientes podría ocasionar no reportemos operacions sospechosas o inusuales a SBS generando multa de SBS o UIF</v>
      </c>
      <c r="I8" s="95" t="s">
        <v>518</v>
      </c>
      <c r="J8" s="102" t="s">
        <v>513</v>
      </c>
      <c r="K8" s="95" t="s">
        <v>516</v>
      </c>
      <c r="L8" s="91" t="s">
        <v>436</v>
      </c>
      <c r="M8" s="103" t="s">
        <v>438</v>
      </c>
      <c r="N8" s="103" t="s">
        <v>461</v>
      </c>
      <c r="O8" s="91" t="s">
        <v>432</v>
      </c>
      <c r="P8" s="89" t="s">
        <v>520</v>
      </c>
      <c r="Q8" s="104" t="str">
        <f>IF(R8="","",IF(R8&gt;Parámetros!$T$14,IF(R8&gt;Parámetros!$T$13,IF(R8&gt;Parámetros!$T$12,IF(R8&gt;Parámetros!$T$11,"Muy Alta","Alta"),"Media"),"Baja"),"Muy Baja"))</f>
        <v>Media</v>
      </c>
      <c r="R8" s="194">
        <v>0.1</v>
      </c>
      <c r="S8" s="93"/>
      <c r="T8" s="92" t="str">
        <f>IF(U8="","",IF(U8&gt;Parámetros!$T$7,IF(U8&gt;Parámetros!$T$6,IF(U8&gt;Parámetros!$T$5,IF(U8&gt;Parámetros!$T$4,"Catastrófico","Mayor"),"Moderado"),"Menor"),"Insignificante"))</f>
        <v>Moderado</v>
      </c>
      <c r="U8" s="107">
        <f>100*4050</f>
        <v>405000</v>
      </c>
      <c r="V8" s="108" t="s">
        <v>522</v>
      </c>
      <c r="W8" s="109" t="str">
        <f>IF(Q8="","",INDEX(Parámetros!$Y$13:$AC$17,VLOOKUP(Q8,Parámetros!$W$13:$X$17,2,FALSE),HLOOKUP(T8,Parámetros!$Y$11:$AC$12,2,FALSE)))</f>
        <v>Medio</v>
      </c>
      <c r="X8" s="96"/>
      <c r="Y8" s="196"/>
      <c r="Z8" s="91"/>
      <c r="AA8" s="90" t="s">
        <v>529</v>
      </c>
      <c r="AB8" s="91"/>
      <c r="AC8" s="91"/>
      <c r="AD8" s="88"/>
      <c r="AE8" s="95"/>
      <c r="AF8" s="95"/>
      <c r="AG8" s="95"/>
      <c r="AH8" s="91"/>
      <c r="AI8" s="91"/>
      <c r="AJ8" s="89"/>
      <c r="AK8" s="89"/>
      <c r="AL8" s="88"/>
      <c r="AM8" s="111" t="str">
        <f>IF(AE8="","",VLOOKUP(AE8,Parámetros!$AE$3:$AF$5,2,FALSE))</f>
        <v/>
      </c>
      <c r="AN8" s="111" t="str">
        <f>IF(AF8="","",VLOOKUP(AF8,Parámetros!$AH$3:$AI$5,2,FALSE))</f>
        <v/>
      </c>
      <c r="AO8" s="111" t="str">
        <f>IF(AG8="","",VLOOKUP(AG8,Parámetros!$AK$3:$AL$4,2,FALSE))</f>
        <v/>
      </c>
      <c r="AP8" s="111" t="str">
        <f>IF(AH8="","",VLOOKUP(AH8,Parámetros!$AN$3:$AO$5,2,FALSE))</f>
        <v/>
      </c>
      <c r="AQ8" s="111" t="str">
        <f>IF(AI8="","",VLOOKUP(AI8,Parámetros!$AQ$3:$AR$5,2,FALSE))</f>
        <v/>
      </c>
      <c r="AR8" s="111" t="str">
        <f>IF(AJ8="","",VLOOKUP(AJ8,Parámetros!$AT$3:$AU$4,2,FALSE))</f>
        <v/>
      </c>
      <c r="AS8" s="111" t="str">
        <f>IF(AK8="","",VLOOKUP(AK8,Parámetros!$AT$3:$AU$4,2,FALSE))</f>
        <v/>
      </c>
      <c r="AT8" s="106">
        <f>IF(R8="","",VLOOKUP(Q8,Parámetros!$R$10:$T$14,3,FALSE))</f>
        <v>0.11</v>
      </c>
      <c r="AU8" s="97" t="e">
        <f>+(AM8*0.2+AN8*0.2+AO8*0.2+AP8*0.2+AQ8*0.2)*(AR8*0.5+AS8*0.5)</f>
        <v>#VALUE!</v>
      </c>
      <c r="AV8" s="92" t="e">
        <f t="shared" ref="AV8" si="1">+IF(AU8&lt;0.9,IF(AU8&lt;0.6,IF(AU8&gt;0.3,"Moderado","Insastisfactorio"),"Bueno"),"Excelente")</f>
        <v>#VALUE!</v>
      </c>
      <c r="AW8" s="98"/>
      <c r="AX8" s="98"/>
      <c r="AY8" s="92" t="str">
        <f>IF(AZ8="","",IF(AZ8&lt;=Parámetros!$T$11,IF(AZ8&lt;=Parámetros!$T$12,IF(AZ8&lt;=Parámetros!$T$13,IF(AZ8&lt;=Parámetros!$T$14,"Muy Baja","Baja"),"Media"),"Alta"),"Muy Alta"))</f>
        <v>Media</v>
      </c>
      <c r="AZ8" s="114">
        <f t="shared" ref="AZ8:AZ16" si="2">IF(AT8="","",IF(AW8="",AT8,(AT8*(1-AW8))))</f>
        <v>0.11</v>
      </c>
      <c r="BA8" s="92" t="str">
        <f>IF(BB8="","",IF(BB8&gt;Parámetros!$T$7,IF(BB8&gt;Parámetros!$T$6,IF(BB8&gt;Parámetros!$T$5,IF(BB8&gt;Parámetros!$T$4,"Catastrófico","Mayor"),"Moderado"),"Menor"),"Insignificante"))</f>
        <v>Moderado</v>
      </c>
      <c r="BB8" s="115">
        <f t="shared" ref="BB8:BB16" si="3">IF(U8="","",IF(AX8="",U8,ROUND(U8*(1-AX8),1)))</f>
        <v>405000</v>
      </c>
      <c r="BC8" s="116">
        <f t="shared" ref="BC8:BC17" si="4">IF(BB8="","",IF(AZ8*BB8=0,"",AZ8*BB8))</f>
        <v>44550</v>
      </c>
      <c r="BD8" s="109" t="str">
        <f>IF(BC8="","",INDEX(Parámetros!$Y$13:$AC$17,VLOOKUP(AY8,Parámetros!$W$13:$X$17,2,FALSE),HLOOKUP(BA8,Parámetros!$Y$11:$AC$12,2,FALSE)))</f>
        <v>Medio</v>
      </c>
      <c r="BE8" s="89"/>
      <c r="BF8" s="99"/>
      <c r="BG8" s="91"/>
      <c r="BH8" s="88"/>
      <c r="BI8" s="213" t="str">
        <f>IF(BH8="","",VLOOKUP(BH8,Parámetros!$AW$3:$AX$6,2,FALSE))</f>
        <v/>
      </c>
      <c r="BJ8" s="91"/>
      <c r="BK8" s="203"/>
      <c r="BL8" s="203"/>
      <c r="BM8" s="204"/>
      <c r="BN8" s="88"/>
      <c r="BO8" s="116" t="str">
        <f t="shared" ref="BO8:BO17" si="5">IF(BE8="Aceptar",BC8,IF(BI8="","",(BC8*(1-BI8))))</f>
        <v/>
      </c>
      <c r="BP8" s="109" t="str">
        <f>IF(BO8="","",IF(BO8&lt;=Parámetros!R36,Parámetros!S36,IF(BO8&lt;=Parámetros!R35,Parámetros!S35,IF(BO8&gt;=Parámetros!R34,Parámetros!S34,IF(BO8&gt;=Parámetros!R33,Parámetros!S33,Parámetros!S32)))))</f>
        <v/>
      </c>
    </row>
    <row r="9" spans="1:68" s="3" customFormat="1" ht="63.75" customHeight="1">
      <c r="A9" s="119">
        <v>3</v>
      </c>
      <c r="B9" s="88"/>
      <c r="C9" s="89"/>
      <c r="D9" s="89"/>
      <c r="E9" s="89"/>
      <c r="F9" s="89"/>
      <c r="G9" s="85"/>
      <c r="H9" s="201" t="str">
        <f t="shared" ref="H9" si="6">IF(I9="","",CONCATENATE(I9," ","podría ocasionar"," ",J9," ", "generando"," ",K9))</f>
        <v>Fallas en el sistema de alertas de ASSIT o en el registro de transacciones en Bantotal podría ocasionar no reportemos operacions sospechosas o inusuales a SBS generando multa de SBS o UIF</v>
      </c>
      <c r="I9" s="95" t="s">
        <v>519</v>
      </c>
      <c r="J9" s="102" t="s">
        <v>513</v>
      </c>
      <c r="K9" s="95" t="s">
        <v>516</v>
      </c>
      <c r="L9" s="91" t="s">
        <v>455</v>
      </c>
      <c r="M9" s="103" t="s">
        <v>449</v>
      </c>
      <c r="N9" s="103" t="s">
        <v>461</v>
      </c>
      <c r="O9" s="91" t="s">
        <v>432</v>
      </c>
      <c r="P9" s="89" t="s">
        <v>520</v>
      </c>
      <c r="Q9" s="104" t="str">
        <f>IF(R9="","",IF(R9&gt;Parámetros!$T$14,IF(R9&gt;Parámetros!$T$13,IF(R9&gt;Parámetros!$T$12,IF(R9&gt;Parámetros!$T$11,"Muy Alta","Alta"),"Media"),"Baja"),"Muy Baja"))</f>
        <v>Alta</v>
      </c>
      <c r="R9" s="194">
        <v>0.3</v>
      </c>
      <c r="S9" s="93"/>
      <c r="T9" s="92" t="str">
        <f>IF(U9="","",IF(U9&gt;Parámetros!$T$7,IF(U9&gt;Parámetros!$T$6,IF(U9&gt;Parámetros!$T$5,IF(U9&gt;Parámetros!$T$4,"Catastrófico","Mayor"),"Moderado"),"Menor"),"Insignificante"))</f>
        <v>Moderado</v>
      </c>
      <c r="U9" s="107">
        <f>100*4050</f>
        <v>405000</v>
      </c>
      <c r="V9" s="108" t="s">
        <v>522</v>
      </c>
      <c r="W9" s="109" t="str">
        <f>IF(Q9="","",INDEX(Parámetros!$Y$13:$AC$17,VLOOKUP(Q9,Parámetros!$W$13:$X$17,2,FALSE),HLOOKUP(T9,Parámetros!$Y$11:$AC$12,2,FALSE)))</f>
        <v>Medio</v>
      </c>
      <c r="X9" s="96"/>
      <c r="Y9" s="196"/>
      <c r="Z9" s="91"/>
      <c r="AA9" s="235" t="s">
        <v>530</v>
      </c>
      <c r="AB9" s="91"/>
      <c r="AC9" s="91"/>
      <c r="AD9" s="88"/>
      <c r="AE9" s="95"/>
      <c r="AF9" s="95"/>
      <c r="AG9" s="95"/>
      <c r="AH9" s="91"/>
      <c r="AI9" s="91"/>
      <c r="AJ9" s="89"/>
      <c r="AK9" s="89"/>
      <c r="AL9" s="88"/>
      <c r="AM9" s="111" t="str">
        <f>IF(AE9="","",VLOOKUP(AE9,Parámetros!$AE$3:$AF$5,2,FALSE))</f>
        <v/>
      </c>
      <c r="AN9" s="111" t="str">
        <f>IF(AF9="","",VLOOKUP(AF9,Parámetros!$AH$3:$AI$5,2,FALSE))</f>
        <v/>
      </c>
      <c r="AO9" s="111" t="str">
        <f>IF(AG9="","",VLOOKUP(AG9,Parámetros!$AK$3:$AL$4,2,FALSE))</f>
        <v/>
      </c>
      <c r="AP9" s="111" t="str">
        <f>IF(AH9="","",VLOOKUP(AH9,Parámetros!$AN$3:$AO$5,2,FALSE))</f>
        <v/>
      </c>
      <c r="AQ9" s="111" t="str">
        <f>IF(AI9="","",VLOOKUP(AI9,Parámetros!$AQ$3:$AR$5,2,FALSE))</f>
        <v/>
      </c>
      <c r="AR9" s="111" t="str">
        <f>IF(AJ9="","",VLOOKUP(AJ9,Parámetros!$AT$3:$AU$4,2,FALSE))</f>
        <v/>
      </c>
      <c r="AS9" s="111" t="str">
        <f>IF(AK9="","",VLOOKUP(AK9,Parámetros!$AT$3:$AU$4,2,FALSE))</f>
        <v/>
      </c>
      <c r="AT9" s="106">
        <f>IF(R9="","",VLOOKUP(Q9,Parámetros!$R$10:$T$14,3,FALSE))</f>
        <v>0.33</v>
      </c>
      <c r="AU9" s="97" t="e">
        <f t="shared" ref="AU9" si="7">+(AM9*0.2+AN9*0.2+AO9*0.2+AP9*0.2+AQ9*0.2)*(AR9*0.5+AS9*0.5)</f>
        <v>#VALUE!</v>
      </c>
      <c r="AV9" s="92" t="e">
        <f t="shared" ref="AV9" si="8">+IF(AU9&lt;0.9,IF(AU9&lt;0.6,IF(AU9&gt;0.3,"Moderado","Insastisfactorio"),"Bueno"),"Excelente")</f>
        <v>#VALUE!</v>
      </c>
      <c r="AW9" s="98"/>
      <c r="AX9" s="98"/>
      <c r="AY9" s="92" t="str">
        <f>IF(AZ9="","",IF(AZ9&lt;=Parámetros!$T$11,IF(AZ9&lt;=Parámetros!$T$12,IF(AZ9&lt;=Parámetros!$T$13,IF(AZ9&lt;=Parámetros!$T$14,"Muy Baja","Baja"),"Media"),"Alta"),"Muy Alta"))</f>
        <v>Alta</v>
      </c>
      <c r="AZ9" s="114">
        <f t="shared" si="2"/>
        <v>0.33</v>
      </c>
      <c r="BA9" s="92" t="str">
        <f>IF(BB9="","",IF(BB9&gt;Parámetros!$T$7,IF(BB9&gt;Parámetros!$T$6,IF(BB9&gt;Parámetros!$T$5,IF(BB9&gt;Parámetros!$T$4,"Catastrófico","Mayor"),"Moderado"),"Menor"),"Insignificante"))</f>
        <v>Moderado</v>
      </c>
      <c r="BB9" s="115">
        <f t="shared" si="3"/>
        <v>405000</v>
      </c>
      <c r="BC9" s="116">
        <f t="shared" si="4"/>
        <v>133650</v>
      </c>
      <c r="BD9" s="109" t="str">
        <f>IF(BC9="","",INDEX(Parámetros!$Y$13:$AC$17,VLOOKUP(AY9,Parámetros!$W$13:$X$17,2,FALSE),HLOOKUP(BA9,Parámetros!$Y$11:$AC$12,2,FALSE)))</f>
        <v>Medio</v>
      </c>
      <c r="BE9" s="89"/>
      <c r="BF9" s="99"/>
      <c r="BG9" s="91"/>
      <c r="BH9" s="88"/>
      <c r="BI9" s="213" t="str">
        <f>IF(BH9="","",VLOOKUP(BH9,Parámetros!$AW$3:$AX$6,2,FALSE))</f>
        <v/>
      </c>
      <c r="BJ9" s="91"/>
      <c r="BK9" s="203"/>
      <c r="BL9" s="203"/>
      <c r="BM9" s="204"/>
      <c r="BN9" s="88"/>
      <c r="BO9" s="116" t="str">
        <f t="shared" si="5"/>
        <v/>
      </c>
      <c r="BP9" s="109" t="str">
        <f>IF(BO9="","",IF(BO9&lt;=Parámetros!R37,Parámetros!S37,IF(BO9&lt;=Parámetros!R36,Parámetros!S36,IF(BO9&gt;=Parámetros!R35,Parámetros!S35,IF(BO9&gt;=Parámetros!R34,Parámetros!S34,Parámetros!S33)))))</f>
        <v/>
      </c>
    </row>
    <row r="10" spans="1:68" s="3" customFormat="1" ht="46.5" customHeight="1">
      <c r="A10" s="119">
        <v>4</v>
      </c>
      <c r="B10" s="88"/>
      <c r="C10" s="89"/>
      <c r="D10" s="89"/>
      <c r="E10" s="89"/>
      <c r="F10" s="89"/>
      <c r="G10" s="85"/>
      <c r="H10" s="201" t="str">
        <f t="shared" si="0"/>
        <v>Omisión o desconocimiento de G. de Agencia o Funcionario durante la investigación podría ocasionar no reportemos operacions sospechosas o inusuales a SBS generando multa de SBS o UIF</v>
      </c>
      <c r="I10" s="95" t="s">
        <v>531</v>
      </c>
      <c r="J10" s="102" t="s">
        <v>513</v>
      </c>
      <c r="K10" s="95" t="s">
        <v>516</v>
      </c>
      <c r="L10" s="91" t="s">
        <v>436</v>
      </c>
      <c r="M10" s="103" t="s">
        <v>439</v>
      </c>
      <c r="N10" s="103"/>
      <c r="O10" s="91"/>
      <c r="P10" s="89"/>
      <c r="Q10" s="104" t="str">
        <f>IF(R10="","",IF(R10&gt;Parámetros!$T$14,IF(R10&gt;Parámetros!$T$13,IF(R10&gt;Parámetros!$T$12,IF(R10&gt;Parámetros!$T$11,"Muy Alta","Alta"),"Media"),"Baja"),"Muy Baja"))</f>
        <v>Media</v>
      </c>
      <c r="R10" s="194">
        <v>0.1</v>
      </c>
      <c r="S10" s="93"/>
      <c r="T10" s="92" t="str">
        <f>IF(U10="","",IF(U10&gt;Parámetros!$T$7,IF(U10&gt;Parámetros!$T$6,IF(U10&gt;Parámetros!$T$5,IF(U10&gt;Parámetros!$T$4,"Catastrófico","Mayor"),"Moderado"),"Menor"),"Insignificante"))</f>
        <v>Moderado</v>
      </c>
      <c r="U10" s="107">
        <f>100*4050</f>
        <v>405000</v>
      </c>
      <c r="V10" s="108" t="s">
        <v>522</v>
      </c>
      <c r="W10" s="109" t="str">
        <f>IF(Q10="","",INDEX(Parámetros!$Y$13:$AC$17,VLOOKUP(Q10,Parámetros!$W$13:$X$17,2,FALSE),HLOOKUP(T10,Parámetros!$Y$11:$AC$12,2,FALSE)))</f>
        <v>Medio</v>
      </c>
      <c r="X10" s="96"/>
      <c r="Y10" s="196"/>
      <c r="Z10" s="91"/>
      <c r="AA10" s="90" t="s">
        <v>532</v>
      </c>
      <c r="AB10" s="91" t="s">
        <v>533</v>
      </c>
      <c r="AC10" s="91" t="s">
        <v>534</v>
      </c>
      <c r="AD10" s="88" t="s">
        <v>535</v>
      </c>
      <c r="AE10" s="95" t="s">
        <v>393</v>
      </c>
      <c r="AF10" s="95" t="s">
        <v>367</v>
      </c>
      <c r="AG10" s="95" t="s">
        <v>46</v>
      </c>
      <c r="AH10" s="91" t="s">
        <v>47</v>
      </c>
      <c r="AI10" s="91" t="s">
        <v>476</v>
      </c>
      <c r="AJ10" s="89" t="s">
        <v>373</v>
      </c>
      <c r="AK10" s="89" t="s">
        <v>373</v>
      </c>
      <c r="AL10" s="88"/>
      <c r="AM10" s="111">
        <f>IF(AE10="","",VLOOKUP(AE10,Parámetros!$AE$3:$AF$5,2,FALSE))</f>
        <v>1</v>
      </c>
      <c r="AN10" s="111">
        <f>IF(AF10="","",VLOOKUP(AF10,Parámetros!$AH$3:$AI$5,2,FALSE))</f>
        <v>1</v>
      </c>
      <c r="AO10" s="111">
        <f>IF(AG10="","",VLOOKUP(AG10,Parámetros!$AK$3:$AL$4,2,FALSE))</f>
        <v>1</v>
      </c>
      <c r="AP10" s="111">
        <f>IF(AH10="","",VLOOKUP(AH10,Parámetros!$AN$3:$AO$5,2,FALSE))</f>
        <v>1</v>
      </c>
      <c r="AQ10" s="111">
        <f>IF(AI10="","",VLOOKUP(AI10,Parámetros!$AQ$3:$AR$5,2,FALSE))</f>
        <v>1</v>
      </c>
      <c r="AR10" s="111">
        <f>IF(AJ10="","",VLOOKUP(AJ10,Parámetros!$AT$3:$AU$4,2,FALSE))</f>
        <v>1</v>
      </c>
      <c r="AS10" s="111">
        <f>IF(AK10="","",VLOOKUP(AK10,Parámetros!$AT$3:$AU$4,2,FALSE))</f>
        <v>1</v>
      </c>
      <c r="AT10" s="106">
        <f>IF(R10="","",VLOOKUP(Q10,Parámetros!$R$10:$T$14,3,FALSE))</f>
        <v>0.11</v>
      </c>
      <c r="AU10" s="97">
        <f>+(AM10*0.2+AN10*0.2+AO10*0.2+AP10*0.2+AQ10*0.2)*(AR10*0.5+AS10*0.5)</f>
        <v>1</v>
      </c>
      <c r="AV10" s="92" t="str">
        <f t="shared" ref="AV10" si="9">+IF(AU10&lt;0.9,IF(AU10&lt;0.6,IF(AU10&gt;0.3,"Moderado","Insastisfactorio"),"Bueno"),"Excelente")</f>
        <v>Excelente</v>
      </c>
      <c r="AW10" s="98"/>
      <c r="AX10" s="98"/>
      <c r="AY10" s="92" t="str">
        <f>IF(AZ10="","",IF(AZ10&lt;=Parámetros!$T$11,IF(AZ10&lt;=Parámetros!$T$12,IF(AZ10&lt;=Parámetros!$T$13,IF(AZ10&lt;=Parámetros!$T$14,"Muy Baja","Baja"),"Media"),"Alta"),"Muy Alta"))</f>
        <v>Media</v>
      </c>
      <c r="AZ10" s="114">
        <f t="shared" si="2"/>
        <v>0.11</v>
      </c>
      <c r="BA10" s="92" t="str">
        <f>IF(BB10="","",IF(BB10&gt;Parámetros!$T$7,IF(BB10&gt;Parámetros!$T$6,IF(BB10&gt;Parámetros!$T$5,IF(BB10&gt;Parámetros!$T$4,"Catastrófico","Mayor"),"Moderado"),"Menor"),"Insignificante"))</f>
        <v>Moderado</v>
      </c>
      <c r="BB10" s="115">
        <f t="shared" si="3"/>
        <v>405000</v>
      </c>
      <c r="BC10" s="116">
        <f t="shared" si="4"/>
        <v>44550</v>
      </c>
      <c r="BD10" s="109" t="str">
        <f>IF(BC10="","",INDEX(Parámetros!$Y$13:$AC$17,VLOOKUP(AY10,Parámetros!$W$13:$X$17,2,FALSE),HLOOKUP(BA10,Parámetros!$Y$11:$AC$12,2,FALSE)))</f>
        <v>Medio</v>
      </c>
      <c r="BE10" s="89"/>
      <c r="BF10" s="99"/>
      <c r="BG10" s="95"/>
      <c r="BH10" s="89"/>
      <c r="BI10" s="213" t="str">
        <f>IF(BH10="","",VLOOKUP(BH10,Parámetros!$AW$3:$AX$6,2,FALSE))</f>
        <v/>
      </c>
      <c r="BJ10" s="91"/>
      <c r="BK10" s="203"/>
      <c r="BL10" s="203"/>
      <c r="BM10" s="205"/>
      <c r="BN10" s="88"/>
      <c r="BO10" s="116" t="str">
        <f t="shared" si="5"/>
        <v/>
      </c>
      <c r="BP10" s="109" t="str">
        <f>IF(BO10="","",IF(BO10&lt;=Parámetros!R38,Parámetros!S38,IF(BO10&lt;=Parámetros!R37,Parámetros!S37,IF(BO10&gt;=Parámetros!R36,Parámetros!S36,IF(BO10&gt;=Parámetros!R35,Parámetros!S35,Parámetros!S34)))))</f>
        <v/>
      </c>
    </row>
    <row r="11" spans="1:68" s="3" customFormat="1" ht="46.5" customHeight="1">
      <c r="A11" s="119"/>
      <c r="B11" s="88"/>
      <c r="C11" s="89"/>
      <c r="D11" s="89"/>
      <c r="E11" s="89"/>
      <c r="F11" s="89"/>
      <c r="G11" s="85"/>
      <c r="H11" s="201" t="str">
        <f t="shared" si="0"/>
        <v/>
      </c>
      <c r="I11" s="95"/>
      <c r="J11" s="95"/>
      <c r="K11" s="95"/>
      <c r="L11" s="91"/>
      <c r="M11" s="103"/>
      <c r="N11" s="103"/>
      <c r="O11" s="91"/>
      <c r="P11" s="89"/>
      <c r="Q11" s="104" t="str">
        <f>IF(R11="","",IF(R11&gt;Parámetros!$T$14,IF(R11&gt;Parámetros!$T$13,IF(R11&gt;Parámetros!$T$12,IF(R11&gt;Parámetros!$T$11,"Muy Alta","Alta"),"Media"),"Baja"),"Muy Baja"))</f>
        <v/>
      </c>
      <c r="R11" s="194"/>
      <c r="S11" s="93"/>
      <c r="T11" s="92" t="str">
        <f>IF(U11="","",IF(U11&gt;Parámetros!$T$7,IF(U11&gt;Parámetros!$T$6,IF(U11&gt;Parámetros!$T$5,IF(U11&gt;Parámetros!$T$4,"Catastrófico","Mayor"),"Moderado"),"Menor"),"Insignificante"))</f>
        <v/>
      </c>
      <c r="U11" s="94"/>
      <c r="V11" s="95"/>
      <c r="W11" s="109" t="str">
        <f>IF(Q11="","",INDEX(Parámetros!$Y$13:$AC$17,VLOOKUP(Q11,Parámetros!$W$13:$X$17,2,FALSE),HLOOKUP(T11,Parámetros!$Y$11:$AC$12,2,FALSE)))</f>
        <v/>
      </c>
      <c r="X11" s="96"/>
      <c r="Y11" s="196"/>
      <c r="Z11" s="91"/>
      <c r="AA11" s="90" t="s">
        <v>536</v>
      </c>
      <c r="AB11" s="91" t="s">
        <v>533</v>
      </c>
      <c r="AC11" s="91" t="s">
        <v>537</v>
      </c>
      <c r="AD11" s="88" t="s">
        <v>535</v>
      </c>
      <c r="AE11" s="95" t="s">
        <v>393</v>
      </c>
      <c r="AF11" s="95" t="s">
        <v>42</v>
      </c>
      <c r="AG11" s="95" t="s">
        <v>46</v>
      </c>
      <c r="AH11" s="91" t="s">
        <v>44</v>
      </c>
      <c r="AI11" s="91" t="s">
        <v>477</v>
      </c>
      <c r="AJ11" s="89" t="s">
        <v>373</v>
      </c>
      <c r="AK11" s="89" t="s">
        <v>373</v>
      </c>
      <c r="AL11" s="88"/>
      <c r="AM11" s="111">
        <f>IF(AE11="","",VLOOKUP(AE11,Parámetros!$AE$3:$AF$5,2,FALSE))</f>
        <v>1</v>
      </c>
      <c r="AN11" s="111">
        <f>IF(AF11="","",VLOOKUP(AF11,Parámetros!$AH$3:$AI$5,2,FALSE))</f>
        <v>0.3</v>
      </c>
      <c r="AO11" s="111">
        <f>IF(AG11="","",VLOOKUP(AG11,Parámetros!$AK$3:$AL$4,2,FALSE))</f>
        <v>1</v>
      </c>
      <c r="AP11" s="111">
        <f>IF(AH11="","",VLOOKUP(AH11,Parámetros!$AN$3:$AO$5,2,FALSE))</f>
        <v>0.5</v>
      </c>
      <c r="AQ11" s="111">
        <f>IF(AI11="","",VLOOKUP(AI11,Parámetros!$AQ$3:$AR$5,2,FALSE))</f>
        <v>0.7</v>
      </c>
      <c r="AR11" s="111">
        <f>IF(AJ11="","",VLOOKUP(AJ11,Parámetros!$AT$3:$AU$4,2,FALSE))</f>
        <v>1</v>
      </c>
      <c r="AS11" s="111">
        <f>IF(AK11="","",VLOOKUP(AK11,Parámetros!$AT$3:$AU$4,2,FALSE))</f>
        <v>1</v>
      </c>
      <c r="AT11" s="106" t="str">
        <f>IF(R11="","",VLOOKUP(Q11,Parámetros!$R$10:$T$14,3,FALSE))</f>
        <v/>
      </c>
      <c r="AU11" s="97">
        <f t="shared" ref="AU11" si="10">+(AM11*0.2+AN11*0.2+AO11*0.2+AP11*0.2+AQ11*0.2)*(AR11*0.5+AS11*0.5)</f>
        <v>0.70000000000000007</v>
      </c>
      <c r="AV11" s="92" t="str">
        <f t="shared" ref="AV11" si="11">+IF(AU11&lt;0.9,IF(AU11&lt;0.6,IF(AU11&gt;0.3,"Moderado","Insastisfactorio"),"Bueno"),"Excelente")</f>
        <v>Bueno</v>
      </c>
      <c r="AW11" s="98"/>
      <c r="AX11" s="98"/>
      <c r="AY11" s="92" t="str">
        <f>IF(AZ11="","",IF(AZ11&lt;=Parámetros!$T$11,IF(AZ11&lt;=Parámetros!$T$12,IF(AZ11&lt;=Parámetros!$T$13,IF(AZ11&lt;=Parámetros!$T$14,"Muy Baja","Baja"),"Media"),"Alta"),"Muy Alta"))</f>
        <v/>
      </c>
      <c r="AZ11" s="114" t="str">
        <f t="shared" si="2"/>
        <v/>
      </c>
      <c r="BA11" s="92" t="str">
        <f>IF(BB11="","",IF(BB11&gt;Parámetros!$T$7,IF(BB11&gt;Parámetros!$T$6,IF(BB11&gt;Parámetros!$T$5,IF(BB11&gt;Parámetros!$T$4,"Catastrófico","Mayor"),"Moderado"),"Menor"),"Insignificante"))</f>
        <v/>
      </c>
      <c r="BB11" s="115" t="str">
        <f t="shared" si="3"/>
        <v/>
      </c>
      <c r="BC11" s="116" t="str">
        <f t="shared" si="4"/>
        <v/>
      </c>
      <c r="BD11" s="109" t="str">
        <f>IF(BC11="","",INDEX(Parámetros!$Y$13:$AC$17,VLOOKUP(AY11,Parámetros!$W$13:$X$17,2,FALSE),HLOOKUP(BA11,Parámetros!$Y$11:$AC$12,2,FALSE)))</f>
        <v/>
      </c>
      <c r="BE11" s="89"/>
      <c r="BF11" s="99"/>
      <c r="BG11" s="91"/>
      <c r="BH11" s="88"/>
      <c r="BI11" s="213" t="str">
        <f>IF(BH11="","",VLOOKUP(BH11,Parámetros!$AW$3:$AX$6,2,FALSE))</f>
        <v/>
      </c>
      <c r="BJ11" s="91"/>
      <c r="BK11" s="203"/>
      <c r="BL11" s="203"/>
      <c r="BM11" s="204"/>
      <c r="BN11" s="88"/>
      <c r="BO11" s="116" t="str">
        <f t="shared" si="5"/>
        <v/>
      </c>
      <c r="BP11" s="109" t="str">
        <f>IF(BO11="","",IF(BO11&lt;=Parámetros!R39,Parámetros!S39,IF(BO11&lt;=Parámetros!R38,Parámetros!S38,IF(BO11&gt;=Parámetros!R37,Parámetros!S37,IF(BO11&gt;=Parámetros!R36,Parámetros!S36,Parámetros!S35)))))</f>
        <v/>
      </c>
    </row>
    <row r="12" spans="1:68" s="3" customFormat="1" ht="46.5" customHeight="1">
      <c r="A12" s="119">
        <v>5</v>
      </c>
      <c r="B12" s="88"/>
      <c r="C12" s="89"/>
      <c r="D12" s="89"/>
      <c r="E12" s="89"/>
      <c r="F12" s="89"/>
      <c r="G12" s="85"/>
      <c r="H12" s="201" t="str">
        <f t="shared" si="0"/>
        <v>Desconocimiento el Funcionario o Gerente de Agencia comunique podría ocasionar denuncia por parte del cliente generando Indemnización (preguntar a Edgar)</v>
      </c>
      <c r="I12" s="95" t="s">
        <v>538</v>
      </c>
      <c r="J12" s="95" t="s">
        <v>540</v>
      </c>
      <c r="K12" s="95" t="s">
        <v>539</v>
      </c>
      <c r="L12" s="91" t="s">
        <v>436</v>
      </c>
      <c r="M12" s="103" t="s">
        <v>440</v>
      </c>
      <c r="N12" s="103" t="s">
        <v>462</v>
      </c>
      <c r="O12" s="91"/>
      <c r="P12" s="89"/>
      <c r="Q12" s="104" t="str">
        <f>IF(R12="","",IF(R12&gt;Parámetros!$T$14,IF(R12&gt;Parámetros!$T$13,IF(R12&gt;Parámetros!$T$12,IF(R12&gt;Parámetros!$T$11,"Muy Alta","Alta"),"Media"),"Baja"),"Muy Baja"))</f>
        <v>Media</v>
      </c>
      <c r="R12" s="194">
        <v>0.1</v>
      </c>
      <c r="S12" s="93"/>
      <c r="T12" s="92" t="str">
        <f>IF(U12="","",IF(U12&gt;Parámetros!$T$7,IF(U12&gt;Parámetros!$T$6,IF(U12&gt;Parámetros!$T$5,IF(U12&gt;Parámetros!$T$4,"Catastrófico","Mayor"),"Moderado"),"Menor"),"Insignificante"))</f>
        <v>Insignificante</v>
      </c>
      <c r="U12" s="94">
        <v>10000</v>
      </c>
      <c r="V12" s="95"/>
      <c r="W12" s="109" t="str">
        <f>IF(Q12="","",INDEX(Parámetros!$Y$13:$AC$17,VLOOKUP(Q12,Parámetros!$W$13:$X$17,2,FALSE),HLOOKUP(T12,Parámetros!$Y$11:$AC$12,2,FALSE)))</f>
        <v>Muy Bajo</v>
      </c>
      <c r="X12" s="96"/>
      <c r="Y12" s="196"/>
      <c r="Z12" s="91"/>
      <c r="AA12" s="90" t="s">
        <v>541</v>
      </c>
      <c r="AB12" s="91" t="s">
        <v>543</v>
      </c>
      <c r="AC12" s="91" t="s">
        <v>542</v>
      </c>
      <c r="AD12" s="88"/>
      <c r="AE12" s="95" t="s">
        <v>365</v>
      </c>
      <c r="AF12" s="95" t="s">
        <v>42</v>
      </c>
      <c r="AG12" s="95" t="s">
        <v>46</v>
      </c>
      <c r="AH12" s="91" t="s">
        <v>44</v>
      </c>
      <c r="AI12" s="91" t="s">
        <v>477</v>
      </c>
      <c r="AJ12" s="89" t="s">
        <v>373</v>
      </c>
      <c r="AK12" s="89" t="s">
        <v>373</v>
      </c>
      <c r="AL12" s="88"/>
      <c r="AM12" s="111">
        <f>IF(AE12="","",VLOOKUP(AE12,Parámetros!$AE$3:$AF$5,2,FALSE))</f>
        <v>0.7</v>
      </c>
      <c r="AN12" s="111">
        <f>IF(AF12="","",VLOOKUP(AF12,Parámetros!$AH$3:$AI$5,2,FALSE))</f>
        <v>0.3</v>
      </c>
      <c r="AO12" s="111">
        <f>IF(AG12="","",VLOOKUP(AG12,Parámetros!$AK$3:$AL$4,2,FALSE))</f>
        <v>1</v>
      </c>
      <c r="AP12" s="111">
        <f>IF(AH12="","",VLOOKUP(AH12,Parámetros!$AN$3:$AO$5,2,FALSE))</f>
        <v>0.5</v>
      </c>
      <c r="AQ12" s="111">
        <f>IF(AI12="","",VLOOKUP(AI12,Parámetros!$AQ$3:$AR$5,2,FALSE))</f>
        <v>0.7</v>
      </c>
      <c r="AR12" s="111">
        <f>IF(AJ12="","",VLOOKUP(AJ12,Parámetros!$AT$3:$AU$4,2,FALSE))</f>
        <v>1</v>
      </c>
      <c r="AS12" s="111">
        <f>IF(AK12="","",VLOOKUP(AK12,Parámetros!$AT$3:$AU$4,2,FALSE))</f>
        <v>1</v>
      </c>
      <c r="AT12" s="106">
        <f>IF(R12="","",VLOOKUP(Q12,Parámetros!$R$10:$T$14,3,FALSE))</f>
        <v>0.11</v>
      </c>
      <c r="AU12" s="97">
        <f t="shared" ref="AU12" si="12">+(AM12*0.2+AN12*0.2+AO12*0.2+AP12*0.2+AQ12*0.2)*(AR12*0.5+AS12*0.5)</f>
        <v>0.64</v>
      </c>
      <c r="AV12" s="92" t="str">
        <f t="shared" ref="AV12" si="13">+IF(AU12&lt;0.9,IF(AU12&lt;0.6,IF(AU12&gt;0.3,"Moderado","Insastisfactorio"),"Bueno"),"Excelente")</f>
        <v>Bueno</v>
      </c>
      <c r="AW12" s="98"/>
      <c r="AX12" s="98"/>
      <c r="AY12" s="92" t="str">
        <f>IF(AZ12="","",IF(AZ12&lt;=Parámetros!$T$11,IF(AZ12&lt;=Parámetros!$T$12,IF(AZ12&lt;=Parámetros!$T$13,IF(AZ12&lt;=Parámetros!$T$14,"Muy Baja","Baja"),"Media"),"Alta"),"Muy Alta"))</f>
        <v>Media</v>
      </c>
      <c r="AZ12" s="114">
        <f t="shared" si="2"/>
        <v>0.11</v>
      </c>
      <c r="BA12" s="92" t="str">
        <f>IF(BB12="","",IF(BB12&gt;Parámetros!$T$7,IF(BB12&gt;Parámetros!$T$6,IF(BB12&gt;Parámetros!$T$5,IF(BB12&gt;Parámetros!$T$4,"Catastrófico","Mayor"),"Moderado"),"Menor"),"Insignificante"))</f>
        <v>Insignificante</v>
      </c>
      <c r="BB12" s="115">
        <f t="shared" si="3"/>
        <v>10000</v>
      </c>
      <c r="BC12" s="116">
        <f t="shared" si="4"/>
        <v>1100</v>
      </c>
      <c r="BD12" s="109" t="str">
        <f>IF(BC12="","",INDEX(Parámetros!$Y$13:$AC$17,VLOOKUP(AY12,Parámetros!$W$13:$X$17,2,FALSE),HLOOKUP(BA12,Parámetros!$Y$11:$AC$12,2,FALSE)))</f>
        <v>Muy Bajo</v>
      </c>
      <c r="BE12" s="89"/>
      <c r="BF12" s="99"/>
      <c r="BG12" s="91"/>
      <c r="BH12" s="88"/>
      <c r="BI12" s="213" t="str">
        <f>IF(BH12="","",VLOOKUP(BH12,Parámetros!$AW$3:$AX$6,2,FALSE))</f>
        <v/>
      </c>
      <c r="BJ12" s="91"/>
      <c r="BK12" s="203"/>
      <c r="BL12" s="203"/>
      <c r="BM12" s="206"/>
      <c r="BN12" s="88"/>
      <c r="BO12" s="116" t="str">
        <f t="shared" si="5"/>
        <v/>
      </c>
      <c r="BP12" s="109" t="str">
        <f>IF(BO12="","",IF(BO12&lt;=Parámetros!R40,Parámetros!S40,IF(BO12&lt;=Parámetros!R39,Parámetros!S39,IF(BO12&gt;=Parámetros!R38,Parámetros!S38,IF(BO12&gt;=Parámetros!R37,Parámetros!S37,Parámetros!S36)))))</f>
        <v/>
      </c>
    </row>
    <row r="13" spans="1:68" s="3" customFormat="1" ht="46.5" customHeight="1">
      <c r="A13" s="119">
        <v>6</v>
      </c>
      <c r="B13" s="88"/>
      <c r="C13" s="89"/>
      <c r="D13" s="89"/>
      <c r="E13" s="89"/>
      <c r="F13" s="89"/>
      <c r="G13" s="85"/>
      <c r="H13" s="201" t="str">
        <f t="shared" si="0"/>
        <v>Omisión por parte de área de Cumplimiento podría ocasionar envien reporte reportes regualtorios tarde o que no se envie generando multa de SBS</v>
      </c>
      <c r="I13" s="95" t="s">
        <v>546</v>
      </c>
      <c r="J13" s="95" t="s">
        <v>547</v>
      </c>
      <c r="K13" s="95" t="s">
        <v>515</v>
      </c>
      <c r="L13" s="91" t="s">
        <v>436</v>
      </c>
      <c r="M13" s="103" t="s">
        <v>439</v>
      </c>
      <c r="N13" s="103"/>
      <c r="O13" s="91"/>
      <c r="P13" s="89"/>
      <c r="Q13" s="104" t="str">
        <f>IF(R13="","",IF(R13&gt;Parámetros!$T$14,IF(R13&gt;Parámetros!$T$13,IF(R13&gt;Parámetros!$T$12,IF(R13&gt;Parámetros!$T$11,"Muy Alta","Alta"),"Media"),"Baja"),"Muy Baja"))</f>
        <v>Media</v>
      </c>
      <c r="R13" s="194">
        <v>0.05</v>
      </c>
      <c r="S13" s="93"/>
      <c r="T13" s="92" t="str">
        <f>IF(U13="","",IF(U13&gt;Parámetros!$T$7,IF(U13&gt;Parámetros!$T$6,IF(U13&gt;Parámetros!$T$5,IF(U13&gt;Parámetros!$T$4,"Catastrófico","Mayor"),"Moderado"),"Menor"),"Insignificante"))</f>
        <v>Moderado</v>
      </c>
      <c r="U13" s="107">
        <f>100*4050</f>
        <v>405000</v>
      </c>
      <c r="V13" s="108" t="s">
        <v>522</v>
      </c>
      <c r="W13" s="109" t="str">
        <f>IF(Q13="","",INDEX(Parámetros!$Y$13:$AC$17,VLOOKUP(Q13,Parámetros!$W$13:$X$17,2,FALSE),HLOOKUP(T13,Parámetros!$Y$11:$AC$12,2,FALSE)))</f>
        <v>Medio</v>
      </c>
      <c r="X13" s="96"/>
      <c r="Y13" s="196"/>
      <c r="Z13" s="91"/>
      <c r="AA13" s="90" t="s">
        <v>548</v>
      </c>
      <c r="AB13" s="91" t="s">
        <v>549</v>
      </c>
      <c r="AC13" s="91" t="s">
        <v>550</v>
      </c>
      <c r="AD13" s="88"/>
      <c r="AE13" s="95" t="s">
        <v>365</v>
      </c>
      <c r="AF13" s="95" t="s">
        <v>42</v>
      </c>
      <c r="AG13" s="95" t="s">
        <v>46</v>
      </c>
      <c r="AH13" s="91" t="s">
        <v>44</v>
      </c>
      <c r="AI13" s="91" t="s">
        <v>476</v>
      </c>
      <c r="AJ13" s="89" t="s">
        <v>373</v>
      </c>
      <c r="AK13" s="89" t="s">
        <v>373</v>
      </c>
      <c r="AL13" s="88"/>
      <c r="AM13" s="111">
        <f>IF(AE13="","",VLOOKUP(AE13,Parámetros!$AE$3:$AF$5,2,FALSE))</f>
        <v>0.7</v>
      </c>
      <c r="AN13" s="111">
        <f>IF(AF13="","",VLOOKUP(AF13,Parámetros!$AH$3:$AI$5,2,FALSE))</f>
        <v>0.3</v>
      </c>
      <c r="AO13" s="111">
        <f>IF(AG13="","",VLOOKUP(AG13,Parámetros!$AK$3:$AL$4,2,FALSE))</f>
        <v>1</v>
      </c>
      <c r="AP13" s="111">
        <f>IF(AH13="","",VLOOKUP(AH13,Parámetros!$AN$3:$AO$5,2,FALSE))</f>
        <v>0.5</v>
      </c>
      <c r="AQ13" s="111">
        <f>IF(AI13="","",VLOOKUP(AI13,Parámetros!$AQ$3:$AR$5,2,FALSE))</f>
        <v>1</v>
      </c>
      <c r="AR13" s="111">
        <f>IF(AJ13="","",VLOOKUP(AJ13,Parámetros!$AT$3:$AU$4,2,FALSE))</f>
        <v>1</v>
      </c>
      <c r="AS13" s="111">
        <f>IF(AK13="","",VLOOKUP(AK13,Parámetros!$AT$3:$AU$4,2,FALSE))</f>
        <v>1</v>
      </c>
      <c r="AT13" s="106">
        <f>IF(R13="","",VLOOKUP(Q13,Parámetros!$R$10:$T$14,3,FALSE))</f>
        <v>0.11</v>
      </c>
      <c r="AU13" s="97">
        <f t="shared" ref="AU13" si="14">+(AM13*0.2+AN13*0.2+AO13*0.2+AP13*0.2+AQ13*0.2)*(AR13*0.5+AS13*0.5)</f>
        <v>0.7</v>
      </c>
      <c r="AV13" s="92" t="str">
        <f t="shared" ref="AV13" si="15">+IF(AU13&lt;0.9,IF(AU13&lt;0.6,IF(AU13&gt;0.3,"Moderado","Insastisfactorio"),"Bueno"),"Excelente")</f>
        <v>Bueno</v>
      </c>
      <c r="AW13" s="98"/>
      <c r="AX13" s="98"/>
      <c r="AY13" s="92" t="str">
        <f>IF(AZ13="","",IF(AZ13&lt;=Parámetros!$T$11,IF(AZ13&lt;=Parámetros!$T$12,IF(AZ13&lt;=Parámetros!$T$13,IF(AZ13&lt;=Parámetros!$T$14,"Muy Baja","Baja"),"Media"),"Alta"),"Muy Alta"))</f>
        <v>Media</v>
      </c>
      <c r="AZ13" s="114">
        <f t="shared" si="2"/>
        <v>0.11</v>
      </c>
      <c r="BA13" s="92" t="str">
        <f>IF(BB13="","",IF(BB13&gt;Parámetros!$T$7,IF(BB13&gt;Parámetros!$T$6,IF(BB13&gt;Parámetros!$T$5,IF(BB13&gt;Parámetros!$T$4,"Catastrófico","Mayor"),"Moderado"),"Menor"),"Insignificante"))</f>
        <v>Moderado</v>
      </c>
      <c r="BB13" s="115">
        <f t="shared" si="3"/>
        <v>405000</v>
      </c>
      <c r="BC13" s="116">
        <f t="shared" si="4"/>
        <v>44550</v>
      </c>
      <c r="BD13" s="109" t="str">
        <f>IF(BC13="","",INDEX(Parámetros!$Y$13:$AC$17,VLOOKUP(AY13,Parámetros!$W$13:$X$17,2,FALSE),HLOOKUP(BA13,Parámetros!$Y$11:$AC$12,2,FALSE)))</f>
        <v>Medio</v>
      </c>
      <c r="BE13" s="89"/>
      <c r="BF13" s="99"/>
      <c r="BG13" s="95"/>
      <c r="BH13" s="89"/>
      <c r="BI13" s="213" t="str">
        <f>IF(BH13="","",VLOOKUP(BH13,Parámetros!$AW$3:$AX$6,2,FALSE))</f>
        <v/>
      </c>
      <c r="BJ13" s="95"/>
      <c r="BK13" s="203"/>
      <c r="BL13" s="203"/>
      <c r="BM13" s="206"/>
      <c r="BN13" s="88"/>
      <c r="BO13" s="116" t="str">
        <f t="shared" si="5"/>
        <v/>
      </c>
      <c r="BP13" s="109" t="str">
        <f>IF(BO13="","",IF(BO13&lt;=Parámetros!R41,Parámetros!S41,IF(BO13&lt;=Parámetros!R40,Parámetros!S40,IF(BO13&gt;=Parámetros!R39,Parámetros!S39,IF(BO13&gt;=Parámetros!R38,Parámetros!S38,Parámetros!S37)))))</f>
        <v/>
      </c>
    </row>
    <row r="14" spans="1:68" s="3" customFormat="1" ht="46.5" customHeight="1">
      <c r="A14" s="119">
        <v>7</v>
      </c>
      <c r="B14" s="88"/>
      <c r="C14" s="89"/>
      <c r="D14" s="89"/>
      <c r="E14" s="89"/>
      <c r="F14" s="89"/>
      <c r="G14" s="85"/>
      <c r="H14" s="201" t="str">
        <f t="shared" si="0"/>
        <v>Fallas en el sistema Bantotal podría ocasionar envien reporte reportes con información inconsistente generando multa de SBS</v>
      </c>
      <c r="I14" s="95" t="s">
        <v>545</v>
      </c>
      <c r="J14" s="95" t="s">
        <v>544</v>
      </c>
      <c r="K14" s="95" t="s">
        <v>515</v>
      </c>
      <c r="L14" s="91" t="s">
        <v>455</v>
      </c>
      <c r="M14" s="103" t="s">
        <v>449</v>
      </c>
      <c r="N14" s="103"/>
      <c r="O14" s="91"/>
      <c r="P14" s="89"/>
      <c r="Q14" s="104" t="str">
        <f>IF(R14="","",IF(R14&gt;Parámetros!$T$14,IF(R14&gt;Parámetros!$T$13,IF(R14&gt;Parámetros!$T$12,IF(R14&gt;Parámetros!$T$11,"Muy Alta","Alta"),"Media"),"Baja"),"Muy Baja"))</f>
        <v>Alta</v>
      </c>
      <c r="R14" s="194">
        <v>0.2</v>
      </c>
      <c r="S14" s="93"/>
      <c r="T14" s="92" t="str">
        <f>IF(U14="","",IF(U14&gt;Parámetros!$T$7,IF(U14&gt;Parámetros!$T$6,IF(U14&gt;Parámetros!$T$5,IF(U14&gt;Parámetros!$T$4,"Catastrófico","Mayor"),"Moderado"),"Menor"),"Insignificante"))</f>
        <v>Moderado</v>
      </c>
      <c r="U14" s="107">
        <f>100*4050</f>
        <v>405000</v>
      </c>
      <c r="V14" s="108" t="s">
        <v>522</v>
      </c>
      <c r="W14" s="109" t="str">
        <f>IF(Q14="","",INDEX(Parámetros!$Y$13:$AC$17,VLOOKUP(Q14,Parámetros!$W$13:$X$17,2,FALSE),HLOOKUP(T14,Parámetros!$Y$11:$AC$12,2,FALSE)))</f>
        <v>Medio</v>
      </c>
      <c r="X14" s="96"/>
      <c r="Y14" s="196"/>
      <c r="Z14" s="91"/>
      <c r="AA14" s="90" t="s">
        <v>551</v>
      </c>
      <c r="AB14" s="91" t="s">
        <v>549</v>
      </c>
      <c r="AC14" s="91" t="s">
        <v>552</v>
      </c>
      <c r="AD14" s="88"/>
      <c r="AE14" s="95" t="s">
        <v>365</v>
      </c>
      <c r="AF14" s="95" t="s">
        <v>42</v>
      </c>
      <c r="AG14" s="95" t="s">
        <v>46</v>
      </c>
      <c r="AH14" s="91" t="s">
        <v>44</v>
      </c>
      <c r="AI14" s="91" t="s">
        <v>477</v>
      </c>
      <c r="AJ14" s="89" t="s">
        <v>373</v>
      </c>
      <c r="AK14" s="89" t="s">
        <v>373</v>
      </c>
      <c r="AL14" s="88"/>
      <c r="AM14" s="111">
        <f>IF(AE14="","",VLOOKUP(AE14,Parámetros!$AE$3:$AF$5,2,FALSE))</f>
        <v>0.7</v>
      </c>
      <c r="AN14" s="111">
        <f>IF(AF14="","",VLOOKUP(AF14,Parámetros!$AH$3:$AI$5,2,FALSE))</f>
        <v>0.3</v>
      </c>
      <c r="AO14" s="111">
        <f>IF(AG14="","",VLOOKUP(AG14,Parámetros!$AK$3:$AL$4,2,FALSE))</f>
        <v>1</v>
      </c>
      <c r="AP14" s="111">
        <f>IF(AH14="","",VLOOKUP(AH14,Parámetros!$AN$3:$AO$5,2,FALSE))</f>
        <v>0.5</v>
      </c>
      <c r="AQ14" s="111">
        <f>IF(AI14="","",VLOOKUP(AI14,Parámetros!$AQ$3:$AR$5,2,FALSE))</f>
        <v>0.7</v>
      </c>
      <c r="AR14" s="111">
        <f>IF(AJ14="","",VLOOKUP(AJ14,Parámetros!$AT$3:$AU$4,2,FALSE))</f>
        <v>1</v>
      </c>
      <c r="AS14" s="111">
        <f>IF(AK14="","",VLOOKUP(AK14,Parámetros!$AT$3:$AU$4,2,FALSE))</f>
        <v>1</v>
      </c>
      <c r="AT14" s="106">
        <f>IF(R14="","",VLOOKUP(Q14,Parámetros!$R$10:$T$14,3,FALSE))</f>
        <v>0.33</v>
      </c>
      <c r="AU14" s="97">
        <f t="shared" ref="AU14:AU15" si="16">+(AM14*0.2+AN14*0.2+AO14*0.2+AP14*0.2+AQ14*0.2)*(AR14*0.5+AS14*0.5)</f>
        <v>0.64</v>
      </c>
      <c r="AV14" s="92" t="str">
        <f t="shared" ref="AV14:AV15" si="17">+IF(AU14&lt;0.9,IF(AU14&lt;0.6,IF(AU14&gt;0.3,"Moderado","Insastisfactorio"),"Bueno"),"Excelente")</f>
        <v>Bueno</v>
      </c>
      <c r="AW14" s="98"/>
      <c r="AX14" s="98"/>
      <c r="AY14" s="92" t="str">
        <f>IF(AZ14="","",IF(AZ14&lt;=Parámetros!$T$11,IF(AZ14&lt;=Parámetros!$T$12,IF(AZ14&lt;=Parámetros!$T$13,IF(AZ14&lt;=Parámetros!$T$14,"Muy Baja","Baja"),"Media"),"Alta"),"Muy Alta"))</f>
        <v>Alta</v>
      </c>
      <c r="AZ14" s="114">
        <f t="shared" si="2"/>
        <v>0.33</v>
      </c>
      <c r="BA14" s="92" t="str">
        <f>IF(BB14="","",IF(BB14&gt;Parámetros!$T$7,IF(BB14&gt;Parámetros!$T$6,IF(BB14&gt;Parámetros!$T$5,IF(BB14&gt;Parámetros!$T$4,"Catastrófico","Mayor"),"Moderado"),"Menor"),"Insignificante"))</f>
        <v>Moderado</v>
      </c>
      <c r="BB14" s="115">
        <f t="shared" si="3"/>
        <v>405000</v>
      </c>
      <c r="BC14" s="116">
        <f t="shared" si="4"/>
        <v>133650</v>
      </c>
      <c r="BD14" s="109" t="str">
        <f>IF(BC14="","",INDEX(Parámetros!$Y$13:$AC$17,VLOOKUP(AY14,Parámetros!$W$13:$X$17,2,FALSE),HLOOKUP(BA14,Parámetros!$Y$11:$AC$12,2,FALSE)))</f>
        <v>Medio</v>
      </c>
      <c r="BE14" s="89"/>
      <c r="BF14" s="99"/>
      <c r="BG14" s="91"/>
      <c r="BH14" s="88"/>
      <c r="BI14" s="213" t="str">
        <f>IF(BH14="","",VLOOKUP(BH14,Parámetros!$AW$3:$AX$6,2,FALSE))</f>
        <v/>
      </c>
      <c r="BJ14" s="91"/>
      <c r="BK14" s="203"/>
      <c r="BL14" s="203"/>
      <c r="BM14" s="90"/>
      <c r="BN14" s="88"/>
      <c r="BO14" s="116" t="str">
        <f t="shared" si="5"/>
        <v/>
      </c>
      <c r="BP14" s="109" t="str">
        <f>IF(BO14="","",IF(BO14&lt;=Parámetros!R42,Parámetros!S42,IF(BO14&lt;=Parámetros!R41,Parámetros!S41,IF(BO14&gt;=Parámetros!R40,Parámetros!S40,IF(BO14&gt;=Parámetros!R39,Parámetros!S39,Parámetros!S38)))))</f>
        <v/>
      </c>
    </row>
    <row r="15" spans="1:68" s="3" customFormat="1" ht="46.5" customHeight="1">
      <c r="A15" s="119">
        <v>8</v>
      </c>
      <c r="B15" s="88"/>
      <c r="C15" s="89"/>
      <c r="D15" s="89"/>
      <c r="E15" s="89"/>
      <c r="F15" s="89"/>
      <c r="G15" s="85"/>
      <c r="H15" s="201" t="str">
        <f t="shared" si="0"/>
        <v>Omisión de personal (cumplimiento) podría ocasionar no se encuentre actualizada generando multa de SBS</v>
      </c>
      <c r="I15" s="95" t="s">
        <v>554</v>
      </c>
      <c r="J15" s="95" t="s">
        <v>553</v>
      </c>
      <c r="K15" s="95" t="s">
        <v>515</v>
      </c>
      <c r="L15" s="91" t="s">
        <v>436</v>
      </c>
      <c r="M15" s="103" t="s">
        <v>439</v>
      </c>
      <c r="N15" s="103"/>
      <c r="O15" s="91"/>
      <c r="P15" s="89"/>
      <c r="Q15" s="104" t="str">
        <f>IF(R15="","",IF(R15&gt;Parámetros!$T$14,IF(R15&gt;Parámetros!$T$13,IF(R15&gt;Parámetros!$T$12,IF(R15&gt;Parámetros!$T$11,"Muy Alta","Alta"),"Media"),"Baja"),"Muy Baja"))</f>
        <v>Media</v>
      </c>
      <c r="R15" s="194">
        <v>0.05</v>
      </c>
      <c r="S15" s="93"/>
      <c r="T15" s="92" t="str">
        <f>IF(U15="","",IF(U15&gt;Parámetros!$T$7,IF(U15&gt;Parámetros!$T$6,IF(U15&gt;Parámetros!$T$5,IF(U15&gt;Parámetros!$T$4,"Catastrófico","Mayor"),"Moderado"),"Menor"),"Insignificante"))</f>
        <v>Moderado</v>
      </c>
      <c r="U15" s="107">
        <f>100*4050</f>
        <v>405000</v>
      </c>
      <c r="V15" s="108" t="s">
        <v>522</v>
      </c>
      <c r="W15" s="109" t="str">
        <f>IF(Q15="","",INDEX(Parámetros!$Y$13:$AC$17,VLOOKUP(Q15,Parámetros!$W$13:$X$17,2,FALSE),HLOOKUP(T15,Parámetros!$Y$11:$AC$12,2,FALSE)))</f>
        <v>Medio</v>
      </c>
      <c r="X15" s="96"/>
      <c r="Y15" s="196"/>
      <c r="Z15" s="91"/>
      <c r="AA15" s="90" t="s">
        <v>555</v>
      </c>
      <c r="AB15" s="91" t="s">
        <v>557</v>
      </c>
      <c r="AC15" s="91" t="s">
        <v>556</v>
      </c>
      <c r="AD15" s="88"/>
      <c r="AE15" s="95" t="s">
        <v>365</v>
      </c>
      <c r="AF15" s="95" t="s">
        <v>42</v>
      </c>
      <c r="AG15" s="95" t="s">
        <v>43</v>
      </c>
      <c r="AH15" s="91" t="s">
        <v>44</v>
      </c>
      <c r="AI15" s="91" t="s">
        <v>477</v>
      </c>
      <c r="AJ15" s="89" t="s">
        <v>373</v>
      </c>
      <c r="AK15" s="89" t="s">
        <v>373</v>
      </c>
      <c r="AL15" s="88"/>
      <c r="AM15" s="111"/>
      <c r="AN15" s="111"/>
      <c r="AO15" s="111"/>
      <c r="AP15" s="111"/>
      <c r="AQ15" s="111"/>
      <c r="AR15" s="111"/>
      <c r="AS15" s="111"/>
      <c r="AT15" s="106"/>
      <c r="AU15" s="97">
        <f t="shared" si="16"/>
        <v>0</v>
      </c>
      <c r="AV15" s="92" t="str">
        <f t="shared" si="17"/>
        <v>Insastisfactorio</v>
      </c>
      <c r="AW15" s="98"/>
      <c r="AX15" s="98"/>
      <c r="AY15" s="92"/>
      <c r="AZ15" s="114"/>
      <c r="BA15" s="92"/>
      <c r="BB15" s="115"/>
      <c r="BC15" s="116"/>
      <c r="BD15" s="109"/>
      <c r="BE15" s="89"/>
      <c r="BF15" s="99"/>
      <c r="BG15" s="91"/>
      <c r="BH15" s="88"/>
      <c r="BI15" s="213"/>
      <c r="BJ15" s="91"/>
      <c r="BK15" s="203"/>
      <c r="BL15" s="203"/>
      <c r="BM15" s="90"/>
      <c r="BN15" s="88"/>
      <c r="BO15" s="116"/>
      <c r="BP15" s="109"/>
    </row>
    <row r="16" spans="1:68" s="3" customFormat="1" ht="46.5" customHeight="1">
      <c r="A16" s="119">
        <v>9</v>
      </c>
      <c r="B16" s="88"/>
      <c r="C16" s="89"/>
      <c r="D16" s="89"/>
      <c r="E16" s="89"/>
      <c r="F16" s="89"/>
      <c r="G16" s="85"/>
      <c r="H16" s="201" t="str">
        <f t="shared" si="0"/>
        <v>Fallas en el sistema Bantotal (se registre y no lo tenga el sistema) podría ocasionar no se encuentre actualizada generando multa de SBS</v>
      </c>
      <c r="I16" s="95" t="s">
        <v>558</v>
      </c>
      <c r="J16" s="95" t="s">
        <v>553</v>
      </c>
      <c r="K16" s="95" t="s">
        <v>515</v>
      </c>
      <c r="L16" s="91" t="s">
        <v>455</v>
      </c>
      <c r="M16" s="103" t="s">
        <v>449</v>
      </c>
      <c r="N16" s="103"/>
      <c r="O16" s="91"/>
      <c r="P16" s="89"/>
      <c r="Q16" s="104" t="str">
        <f>IF(R16="","",IF(R16&gt;Parámetros!$T$14,IF(R16&gt;Parámetros!$T$13,IF(R16&gt;Parámetros!$T$12,IF(R16&gt;Parámetros!$T$11,"Muy Alta","Alta"),"Media"),"Baja"),"Muy Baja"))</f>
        <v>Media</v>
      </c>
      <c r="R16" s="194">
        <v>0.05</v>
      </c>
      <c r="S16" s="93"/>
      <c r="T16" s="92" t="str">
        <f>IF(U16="","",IF(U16&gt;Parámetros!$T$7,IF(U16&gt;Parámetros!$T$6,IF(U16&gt;Parámetros!$T$5,IF(U16&gt;Parámetros!$T$4,"Catastrófico","Mayor"),"Moderado"),"Menor"),"Insignificante"))</f>
        <v>Moderado</v>
      </c>
      <c r="U16" s="107">
        <f>100*4050</f>
        <v>405000</v>
      </c>
      <c r="V16" s="108" t="s">
        <v>522</v>
      </c>
      <c r="W16" s="109" t="str">
        <f>IF(Q16="","",INDEX(Parámetros!$Y$13:$AC$17,VLOOKUP(Q16,Parámetros!$W$13:$X$17,2,FALSE),HLOOKUP(T16,Parámetros!$Y$11:$AC$12,2,FALSE)))</f>
        <v>Medio</v>
      </c>
      <c r="X16" s="96"/>
      <c r="Y16" s="196"/>
      <c r="Z16" s="91"/>
      <c r="AA16" s="90" t="s">
        <v>555</v>
      </c>
      <c r="AB16" s="91" t="s">
        <v>557</v>
      </c>
      <c r="AC16" s="91" t="s">
        <v>556</v>
      </c>
      <c r="AD16" s="88"/>
      <c r="AE16" s="95" t="s">
        <v>365</v>
      </c>
      <c r="AF16" s="95" t="s">
        <v>42</v>
      </c>
      <c r="AG16" s="95" t="s">
        <v>43</v>
      </c>
      <c r="AH16" s="91" t="s">
        <v>44</v>
      </c>
      <c r="AI16" s="91" t="s">
        <v>477</v>
      </c>
      <c r="AJ16" s="89" t="s">
        <v>373</v>
      </c>
      <c r="AK16" s="89" t="s">
        <v>373</v>
      </c>
      <c r="AL16" s="88"/>
      <c r="AM16" s="111">
        <f>IF(AE16="","",VLOOKUP(AE16,Parámetros!$AE$3:$AF$5,2,FALSE))</f>
        <v>0.7</v>
      </c>
      <c r="AN16" s="111">
        <f>IF(AF16="","",VLOOKUP(AF16,Parámetros!$AH$3:$AI$5,2,FALSE))</f>
        <v>0.3</v>
      </c>
      <c r="AO16" s="111">
        <f>IF(AG16="","",VLOOKUP(AG16,Parámetros!$AK$3:$AL$4,2,FALSE))</f>
        <v>0.5</v>
      </c>
      <c r="AP16" s="111">
        <f>IF(AH16="","",VLOOKUP(AH16,Parámetros!$AN$3:$AO$5,2,FALSE))</f>
        <v>0.5</v>
      </c>
      <c r="AQ16" s="111">
        <f>IF(AI16="","",VLOOKUP(AI16,Parámetros!$AQ$3:$AR$5,2,FALSE))</f>
        <v>0.7</v>
      </c>
      <c r="AR16" s="111">
        <f>IF(AJ16="","",VLOOKUP(AJ16,Parámetros!$AT$3:$AU$4,2,FALSE))</f>
        <v>1</v>
      </c>
      <c r="AS16" s="111">
        <f>IF(AK16="","",VLOOKUP(AK16,Parámetros!$AT$3:$AU$4,2,FALSE))</f>
        <v>1</v>
      </c>
      <c r="AT16" s="106">
        <f>IF(R16="","",VLOOKUP(Q16,Parámetros!$R$10:$T$14,3,FALSE))</f>
        <v>0.11</v>
      </c>
      <c r="AU16" s="97">
        <f t="shared" ref="AU16" si="18">+(AM16*0.2+AN16*0.2+AO16*0.2+AP16*0.2+AQ16*0.2)*(AR16*0.5+AS16*0.5)</f>
        <v>0.54</v>
      </c>
      <c r="AV16" s="92" t="str">
        <f t="shared" ref="AV16" si="19">+IF(AU16&lt;0.9,IF(AU16&lt;0.6,IF(AU16&gt;0.3,"Moderado","Insastisfactorio"),"Bueno"),"Excelente")</f>
        <v>Moderado</v>
      </c>
      <c r="AW16" s="98"/>
      <c r="AX16" s="98"/>
      <c r="AY16" s="92" t="str">
        <f>IF(AZ16="","",IF(AZ16&lt;=Parámetros!$T$11,IF(AZ16&lt;=Parámetros!$T$12,IF(AZ16&lt;=Parámetros!$T$13,IF(AZ16&lt;=Parámetros!$T$14,"Muy Baja","Baja"),"Media"),"Alta"),"Muy Alta"))</f>
        <v>Media</v>
      </c>
      <c r="AZ16" s="114">
        <f t="shared" si="2"/>
        <v>0.11</v>
      </c>
      <c r="BA16" s="92" t="str">
        <f>IF(BB16="","",IF(BB16&gt;Parámetros!$T$7,IF(BB16&gt;Parámetros!$T$6,IF(BB16&gt;Parámetros!$T$5,IF(BB16&gt;Parámetros!$T$4,"Catastrófico","Mayor"),"Moderado"),"Menor"),"Insignificante"))</f>
        <v>Moderado</v>
      </c>
      <c r="BB16" s="115">
        <f t="shared" si="3"/>
        <v>405000</v>
      </c>
      <c r="BC16" s="116">
        <f t="shared" si="4"/>
        <v>44550</v>
      </c>
      <c r="BD16" s="109" t="str">
        <f>IF(BC16="","",INDEX(Parámetros!$Y$13:$AC$17,VLOOKUP(AY16,Parámetros!$W$13:$X$17,2,FALSE),HLOOKUP(BA16,Parámetros!$Y$11:$AC$12,2,FALSE)))</f>
        <v>Medio</v>
      </c>
      <c r="BE16" s="89"/>
      <c r="BF16" s="99"/>
      <c r="BG16" s="91"/>
      <c r="BH16" s="88"/>
      <c r="BI16" s="213" t="str">
        <f>IF(BH16="","",VLOOKUP(BH16,Parámetros!$AW$3:$AX$6,2,FALSE))</f>
        <v/>
      </c>
      <c r="BJ16" s="91"/>
      <c r="BK16" s="203"/>
      <c r="BL16" s="203"/>
      <c r="BM16" s="204"/>
      <c r="BN16" s="88"/>
      <c r="BO16" s="116" t="str">
        <f t="shared" si="5"/>
        <v/>
      </c>
      <c r="BP16" s="109" t="str">
        <f>IF(BO16="","",IF(BO16&lt;=Parámetros!R43,Parámetros!S43,IF(BO16&lt;=Parámetros!R42,Parámetros!S42,IF(BO16&gt;=Parámetros!R41,Parámetros!S41,IF(BO16&gt;=Parámetros!R40,Parámetros!S40,Parámetros!S39)))))</f>
        <v/>
      </c>
    </row>
    <row r="17" spans="7:67" ht="40.799999999999997">
      <c r="AA17" s="90" t="s">
        <v>559</v>
      </c>
      <c r="AB17" s="91" t="s">
        <v>557</v>
      </c>
      <c r="AC17" s="91" t="s">
        <v>556</v>
      </c>
      <c r="AD17" s="88"/>
      <c r="AE17" s="95" t="s">
        <v>365</v>
      </c>
      <c r="AF17" s="95" t="s">
        <v>367</v>
      </c>
      <c r="AG17" s="95" t="s">
        <v>43</v>
      </c>
      <c r="AH17" s="91" t="s">
        <v>44</v>
      </c>
      <c r="AI17" s="91" t="s">
        <v>476</v>
      </c>
      <c r="AJ17" s="89" t="s">
        <v>373</v>
      </c>
      <c r="AK17" s="89" t="s">
        <v>373</v>
      </c>
      <c r="AL17" s="88"/>
      <c r="AM17" s="111">
        <f>IF(AE17="","",VLOOKUP(AE17,Parámetros!$AE$3:$AF$5,2,FALSE))</f>
        <v>0.7</v>
      </c>
      <c r="AN17" s="111">
        <f>IF(AF17="","",VLOOKUP(AF17,Parámetros!$AH$3:$AI$5,2,FALSE))</f>
        <v>1</v>
      </c>
      <c r="AO17" s="111">
        <f>IF(AG17="","",VLOOKUP(AG17,Parámetros!$AK$3:$AL$4,2,FALSE))</f>
        <v>0.5</v>
      </c>
      <c r="AP17" s="111">
        <f>IF(AH17="","",VLOOKUP(AH17,Parámetros!$AN$3:$AO$5,2,FALSE))</f>
        <v>0.5</v>
      </c>
      <c r="AQ17" s="111">
        <f>IF(AI17="","",VLOOKUP(AI17,Parámetros!$AQ$3:$AR$5,2,FALSE))</f>
        <v>1</v>
      </c>
      <c r="AR17" s="111">
        <f>IF(AJ17="","",VLOOKUP(AJ17,Parámetros!$AT$3:$AU$4,2,FALSE))</f>
        <v>1</v>
      </c>
      <c r="AS17" s="111">
        <f>IF(AK17="","",VLOOKUP(AK17,Parámetros!$AT$3:$AU$4,2,FALSE))</f>
        <v>1</v>
      </c>
      <c r="AT17" s="106" t="str">
        <f>IF(R17="","",VLOOKUP(Q17,Parámetros!$R$10:$T$14,3,FALSE))</f>
        <v/>
      </c>
      <c r="AU17" s="97">
        <f t="shared" ref="AU17" si="20">+(AM17*0.2+AN17*0.2+AO17*0.2+AP17*0.2+AQ17*0.2)*(AR17*0.5+AS17*0.5)</f>
        <v>0.74</v>
      </c>
      <c r="AV17" s="92" t="str">
        <f t="shared" ref="AV17" si="21">+IF(AU17&lt;0.9,IF(AU17&lt;0.6,IF(AU17&gt;0.3,"Moderado","Insastisfactorio"),"Bueno"),"Excelente")</f>
        <v>Bueno</v>
      </c>
      <c r="BB17" s="2"/>
      <c r="BC17" s="116" t="str">
        <f t="shared" si="4"/>
        <v/>
      </c>
      <c r="BI17" s="213" t="str">
        <f>IF(BH17="","",VLOOKUP(BH17,Parámetros!$AW$3:$AX$6,2,FALSE))</f>
        <v/>
      </c>
      <c r="BO17" s="116" t="str">
        <f t="shared" si="5"/>
        <v/>
      </c>
    </row>
    <row r="18" spans="7:67">
      <c r="AT18" s="5"/>
      <c r="BB18" s="5"/>
      <c r="BC18" s="5"/>
      <c r="BI18" s="213" t="str">
        <f>IF(BH18="","",VLOOKUP(BH18,Parámetros!$AW$3:$AX$6,2,FALSE))</f>
        <v/>
      </c>
      <c r="BO18" s="5"/>
    </row>
    <row r="19" spans="7:67" ht="26.25" customHeight="1">
      <c r="AT19" s="5"/>
      <c r="BB19" s="5"/>
      <c r="BC19" s="5"/>
      <c r="BI19" s="213" t="str">
        <f>IF(BH19="","",VLOOKUP(BH19,Parámetros!$AW$3:$AX$6,2,FALSE))</f>
        <v/>
      </c>
      <c r="BO19" s="5"/>
    </row>
    <row r="20" spans="7:67">
      <c r="AT20" s="5"/>
      <c r="BB20" s="2"/>
      <c r="BC20" s="2" t="str">
        <f t="shared" ref="BC20:BC31" si="22">IF(AZ20*BB20=0,"",AZ20*BB20)</f>
        <v/>
      </c>
      <c r="BI20" s="213" t="str">
        <f>IF(BH20="","",VLOOKUP(BH20,Parámetros!$AW$3:$AX$6,2,FALSE))</f>
        <v/>
      </c>
      <c r="BO20" s="2" t="e">
        <f>IF(BM20*#REF!=0,"",BM20*#REF!)</f>
        <v>#REF!</v>
      </c>
    </row>
    <row r="21" spans="7:67">
      <c r="AT21" s="5"/>
      <c r="BB21" s="2"/>
      <c r="BC21" s="2" t="str">
        <f t="shared" si="22"/>
        <v/>
      </c>
      <c r="BI21" s="213" t="str">
        <f>IF(BH21="","",VLOOKUP(BH21,Parámetros!$AW$3:$AX$6,2,FALSE))</f>
        <v/>
      </c>
      <c r="BO21" s="2" t="e">
        <f>IF(BM21*#REF!=0,"",BM21*#REF!)</f>
        <v>#REF!</v>
      </c>
    </row>
    <row r="22" spans="7:67">
      <c r="AT22" s="5"/>
      <c r="BB22" s="2"/>
      <c r="BC22" s="2" t="str">
        <f t="shared" si="22"/>
        <v/>
      </c>
      <c r="BI22" s="213" t="str">
        <f>IF(BH22="","",VLOOKUP(BH22,Parámetros!$AW$3:$AX$6,2,FALSE))</f>
        <v/>
      </c>
      <c r="BO22" s="2" t="e">
        <f>IF(BM22*#REF!=0,"",BM22*#REF!)</f>
        <v>#REF!</v>
      </c>
    </row>
    <row r="23" spans="7:67">
      <c r="AT23" s="5"/>
      <c r="BB23" s="2"/>
      <c r="BC23" s="2" t="str">
        <f t="shared" si="22"/>
        <v/>
      </c>
      <c r="BI23" s="213" t="str">
        <f>IF(BH23="","",VLOOKUP(BH23,Parámetros!$AW$3:$AX$6,2,FALSE))</f>
        <v/>
      </c>
      <c r="BO23" s="2" t="e">
        <f>IF(BM23*#REF!=0,"",BM23*#REF!)</f>
        <v>#REF!</v>
      </c>
    </row>
    <row r="24" spans="7:67">
      <c r="AT24" s="5"/>
      <c r="BB24" s="2"/>
      <c r="BC24" s="2" t="str">
        <f t="shared" si="22"/>
        <v/>
      </c>
      <c r="BI24" s="213" t="str">
        <f>IF(BH24="","",VLOOKUP(BH24,Parámetros!$AW$3:$AX$6,2,FALSE))</f>
        <v/>
      </c>
      <c r="BO24" s="2" t="e">
        <f>IF(BM24*#REF!=0,"",BM24*#REF!)</f>
        <v>#REF!</v>
      </c>
    </row>
    <row r="25" spans="7:67">
      <c r="AT25" s="5"/>
      <c r="BB25" s="2"/>
      <c r="BC25" s="2" t="str">
        <f t="shared" si="22"/>
        <v/>
      </c>
      <c r="BI25" s="213" t="str">
        <f>IF(BH25="","",VLOOKUP(BH25,Parámetros!$AW$3:$AX$6,2,FALSE))</f>
        <v/>
      </c>
      <c r="BO25" s="2" t="e">
        <f>IF(BM25*#REF!=0,"",BM25*#REF!)</f>
        <v>#REF!</v>
      </c>
    </row>
    <row r="26" spans="7:67">
      <c r="AT26" s="5"/>
      <c r="BB26" s="2"/>
      <c r="BC26" s="2" t="str">
        <f t="shared" si="22"/>
        <v/>
      </c>
      <c r="BI26" s="213" t="str">
        <f>IF(BH26="","",VLOOKUP(BH26,Parámetros!$AW$3:$AX$6,2,FALSE))</f>
        <v/>
      </c>
      <c r="BO26" s="2" t="e">
        <f>IF(BM26*#REF!=0,"",BM26*#REF!)</f>
        <v>#REF!</v>
      </c>
    </row>
    <row r="27" spans="7:67">
      <c r="AT27" s="5"/>
      <c r="BB27" s="2"/>
      <c r="BC27" s="2" t="str">
        <f t="shared" si="22"/>
        <v/>
      </c>
      <c r="BI27" s="213" t="str">
        <f>IF(BH27="","",VLOOKUP(BH27,Parámetros!$AW$3:$AX$6,2,FALSE))</f>
        <v/>
      </c>
      <c r="BO27" s="2" t="e">
        <f>IF(BM27*#REF!=0,"",BM27*#REF!)</f>
        <v>#REF!</v>
      </c>
    </row>
    <row r="28" spans="7:67">
      <c r="AT28" s="5"/>
      <c r="BB28" s="2"/>
      <c r="BC28" s="2" t="str">
        <f t="shared" si="22"/>
        <v/>
      </c>
      <c r="BI28" s="213" t="str">
        <f>IF(BH28="","",VLOOKUP(BH28,Parámetros!$AW$3:$AX$6,2,FALSE))</f>
        <v/>
      </c>
      <c r="BO28" s="2" t="e">
        <f>IF(BM28*#REF!=0,"",BM28*#REF!)</f>
        <v>#REF!</v>
      </c>
    </row>
    <row r="29" spans="7:67">
      <c r="AT29" s="5"/>
      <c r="BB29" s="2"/>
      <c r="BC29" s="2" t="str">
        <f t="shared" si="22"/>
        <v/>
      </c>
      <c r="BI29" s="213" t="str">
        <f>IF(BH29="","",VLOOKUP(BH29,Parámetros!$AW$3:$AX$6,2,FALSE))</f>
        <v/>
      </c>
      <c r="BO29" s="2" t="e">
        <f>IF(BM29*#REF!=0,"",BM29*#REF!)</f>
        <v>#REF!</v>
      </c>
    </row>
    <row r="30" spans="7:67">
      <c r="AT30" s="5"/>
      <c r="BB30" s="2"/>
      <c r="BC30" s="2" t="str">
        <f t="shared" si="22"/>
        <v/>
      </c>
      <c r="BI30" s="213" t="str">
        <f>IF(BH30="","",VLOOKUP(BH30,Parámetros!$AW$3:$AX$6,2,FALSE))</f>
        <v/>
      </c>
      <c r="BO30" s="2" t="e">
        <f>IF(BM30*#REF!=0,"",BM30*#REF!)</f>
        <v>#REF!</v>
      </c>
    </row>
    <row r="31" spans="7:67">
      <c r="G31" s="1"/>
      <c r="H31" s="1"/>
      <c r="I31" s="1"/>
      <c r="J31" s="1"/>
      <c r="K31" s="1"/>
      <c r="L31" s="1"/>
      <c r="M31" s="1"/>
      <c r="N31" s="1"/>
      <c r="O31" s="1"/>
      <c r="P31" s="1"/>
      <c r="AT31" s="5"/>
      <c r="BB31" s="2"/>
      <c r="BC31" s="2" t="str">
        <f t="shared" si="22"/>
        <v/>
      </c>
      <c r="BI31" s="213" t="str">
        <f>IF(BH31="","",VLOOKUP(BH31,Parámetros!$AW$3:$AX$6,2,FALSE))</f>
        <v/>
      </c>
      <c r="BO31" s="2" t="e">
        <f>IF(BM31*#REF!=0,"",BM31*#REF!)</f>
        <v>#REF!</v>
      </c>
    </row>
    <row r="32" spans="7:67">
      <c r="G32" s="1"/>
      <c r="H32" s="1"/>
      <c r="I32" s="1"/>
      <c r="J32" s="1"/>
      <c r="K32" s="1"/>
      <c r="L32" s="1"/>
      <c r="M32" s="1"/>
      <c r="N32" s="1"/>
      <c r="O32" s="1"/>
      <c r="P32" s="1"/>
      <c r="AT32" s="5"/>
      <c r="BB32" s="2"/>
      <c r="BC32" s="2"/>
      <c r="BO32" s="2"/>
    </row>
    <row r="37" spans="7:21">
      <c r="G37" s="1"/>
      <c r="H37" s="1"/>
      <c r="I37" s="1"/>
      <c r="J37" s="1"/>
      <c r="K37" s="1"/>
      <c r="L37" s="1"/>
      <c r="M37" s="1"/>
      <c r="N37" s="1"/>
      <c r="O37" s="1"/>
      <c r="P37" s="1"/>
      <c r="U37" s="70"/>
    </row>
  </sheetData>
  <autoFilter ref="A5:BN31" xr:uid="{00000000-0009-0000-0000-000001000000}"/>
  <sortState xmlns:xlrd2="http://schemas.microsoft.com/office/spreadsheetml/2017/richdata2" ref="A8:BK12">
    <sortCondition ref="A8:A12"/>
  </sortState>
  <mergeCells count="9">
    <mergeCell ref="BO4:BP4"/>
    <mergeCell ref="AM5:AS5"/>
    <mergeCell ref="Q4:W4"/>
    <mergeCell ref="BM4:BN4"/>
    <mergeCell ref="AE4:AI4"/>
    <mergeCell ref="AJ4:AK4"/>
    <mergeCell ref="BE4:BL4"/>
    <mergeCell ref="X4:AD4"/>
    <mergeCell ref="AY4:BD4"/>
  </mergeCells>
  <conditionalFormatting sqref="BD6:BD16">
    <cfRule type="cellIs" dxfId="11" priority="166" operator="equal">
      <formula>"Bajo"</formula>
    </cfRule>
  </conditionalFormatting>
  <conditionalFormatting sqref="BP6:BP16">
    <cfRule type="cellIs" dxfId="5" priority="1" operator="equal">
      <formula>"Bajo"</formula>
    </cfRule>
  </conditionalFormatting>
  <dataValidations count="5">
    <dataValidation allowBlank="1" showInputMessage="1" showErrorMessage="1" errorTitle="Contiene formula" sqref="S6:S16 R6:R1048576 AY6:AY16 Q6:Q16" xr:uid="{00000000-0002-0000-0100-000000000000}"/>
    <dataValidation type="list" allowBlank="1" showInputMessage="1" showErrorMessage="1" prompt="De ser sí, registrar en Hoja Riesgo Materializado" sqref="P6:P16" xr:uid="{00000000-0002-0000-0100-000001000000}">
      <formula1>"Si, No"</formula1>
    </dataValidation>
    <dataValidation type="list" showInputMessage="1" showErrorMessage="1" sqref="C6:C16" xr:uid="{00000000-0002-0000-0100-000002000000}">
      <formula1>INDIRECT(SUBSTITUTE(SUBSTITUTE(B6," ","_"),",",""))</formula1>
    </dataValidation>
    <dataValidation type="list" allowBlank="1" showInputMessage="1" showErrorMessage="1" sqref="D6:D16 F6:F16 M6:M16" xr:uid="{00000000-0002-0000-0100-000003000000}">
      <formula1>INDIRECT(SUBSTITUTE(SUBSTITUTE(C6," ","_"),",",""))</formula1>
    </dataValidation>
    <dataValidation allowBlank="1" showErrorMessage="1" sqref="AT6:AT31" xr:uid="{00000000-0002-0000-0100-000004000000}"/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6" operator="equal" id="{5DD65444-1C13-440A-AC98-EB4C5535F4D0}">
            <xm:f>Parámetros!$R$25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137" operator="equal" id="{DB30565B-1DE8-4F46-88DA-A1B7A08D7525}">
            <xm:f>Parámetros!$R$24</xm:f>
            <x14:dxf>
              <font>
                <color auto="1"/>
              </font>
              <fill>
                <patternFill>
                  <bgColor rgb="FFFFC000"/>
                </patternFill>
              </fill>
            </x14:dxf>
          </x14:cfRule>
          <x14:cfRule type="cellIs" priority="138" operator="equal" id="{F651A996-BD7B-4BB2-A2CB-84CF3511658F}">
            <xm:f>Parámetros!$R$23</xm:f>
            <x14:dxf>
              <font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ellIs" priority="139" operator="equal" id="{BBE53B9A-C8BD-46CB-90ED-5941C8B17C74}">
            <xm:f>Parámetros!$R$22</xm:f>
            <x14:dxf>
              <font>
                <color auto="1"/>
              </font>
              <fill>
                <patternFill>
                  <bgColor rgb="FF00F26D"/>
                </patternFill>
              </fill>
            </x14:dxf>
          </x14:cfRule>
          <x14:cfRule type="cellIs" priority="140" operator="equal" id="{57A55DFA-E6B8-43FA-A067-821773259C39}">
            <xm:f>Parámetros!$R$21</xm:f>
            <x14:dxf>
              <font>
                <color auto="1"/>
              </font>
              <fill>
                <patternFill>
                  <bgColor rgb="FF00B0F0"/>
                </patternFill>
              </fill>
            </x14:dxf>
          </x14:cfRule>
          <xm:sqref>W6:W16</xm:sqref>
        </x14:conditionalFormatting>
        <x14:conditionalFormatting xmlns:xm="http://schemas.microsoft.com/office/excel/2006/main">
          <x14:cfRule type="cellIs" priority="210" operator="equal" id="{BC707570-C454-4367-A410-1E7BA671EBDC}">
            <xm:f>Parámetros!$AB$13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211" operator="equal" id="{48006E61-DE4A-4D51-9AE8-FC9759B213F5}">
            <xm:f>Parámetros!$AB$14</xm:f>
            <x14:dxf>
              <font>
                <color auto="1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212" operator="equal" id="{9A7DAF5D-AE96-4B4A-A7E4-6C8B5C876DB4}">
            <xm:f>Parámetros!$AA$15</xm:f>
            <x14:dxf>
              <font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ellIs" priority="213" operator="equal" id="{66171ABF-A7F4-4ACC-8A9E-BA688545DC90}">
            <xm:f>Parámetros!$Z$15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214" operator="equal" id="{A0B2CA89-70D1-4AFC-ABC1-C302768C1B9D}">
            <xm:f>Parámetros!$Y$17</xm:f>
            <x14:dxf>
              <font>
                <color auto="1"/>
              </font>
              <fill>
                <patternFill>
                  <bgColor rgb="FF00B0F0"/>
                </patternFill>
              </fill>
            </x14:dxf>
          </x14:cfRule>
          <xm:sqref>BD6:BD16</xm:sqref>
        </x14:conditionalFormatting>
        <x14:conditionalFormatting xmlns:xm="http://schemas.microsoft.com/office/excel/2006/main">
          <x14:cfRule type="cellIs" priority="2" operator="equal" id="{BF21AA9A-E681-4596-94D0-9BB04BB93702}">
            <xm:f>Parámetros!$AB$13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3" operator="equal" id="{C0B0379A-98B3-4885-ACDD-E6AFEEE45E23}">
            <xm:f>Parámetros!$AB$14</xm:f>
            <x14:dxf>
              <font>
                <color auto="1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4" operator="equal" id="{2EC6AAB0-B6BF-4958-A01C-7D209090CC30}">
            <xm:f>Parámetros!$AA$15</xm:f>
            <x14:dxf>
              <font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ellIs" priority="5" operator="equal" id="{8DFA8378-9A4D-4AF7-BC92-ED6BD18B0244}">
            <xm:f>Parámetros!$Z$15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6" operator="equal" id="{B8F000C2-A517-4D8E-9336-E0DFBC31CA1C}">
            <xm:f>Parámetros!$Y$17</xm:f>
            <x14:dxf>
              <font>
                <color auto="1"/>
              </font>
              <fill>
                <patternFill>
                  <bgColor rgb="FF00B0F0"/>
                </patternFill>
              </fill>
            </x14:dxf>
          </x14:cfRule>
          <xm:sqref>BP6:BP16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100-000005000000}">
          <x14:formula1>
            <xm:f>Parámetros!$C$3:$C$19</xm:f>
          </x14:formula1>
          <xm:sqref>B6:B16</xm:sqref>
        </x14:dataValidation>
        <x14:dataValidation type="list" allowBlank="1" showInputMessage="1" showErrorMessage="1" xr:uid="{00000000-0002-0000-0100-000006000000}">
          <x14:formula1>
            <xm:f>Parámetros!$N$3:$N$9</xm:f>
          </x14:formula1>
          <xm:sqref>E6:E16</xm:sqref>
        </x14:dataValidation>
        <x14:dataValidation type="list" allowBlank="1" showInputMessage="1" showErrorMessage="1" xr:uid="{00000000-0002-0000-0100-000007000000}">
          <x14:formula1>
            <xm:f>Parámetros!$AE$3:$AE$5</xm:f>
          </x14:formula1>
          <xm:sqref>AE6:AE17</xm:sqref>
        </x14:dataValidation>
        <x14:dataValidation type="list" allowBlank="1" showInputMessage="1" showErrorMessage="1" xr:uid="{00000000-0002-0000-0100-000008000000}">
          <x14:formula1>
            <xm:f>Parámetros!$AH$3:$AH$5</xm:f>
          </x14:formula1>
          <xm:sqref>AF6:AF17</xm:sqref>
        </x14:dataValidation>
        <x14:dataValidation type="list" allowBlank="1" showInputMessage="1" showErrorMessage="1" xr:uid="{00000000-0002-0000-0100-000009000000}">
          <x14:formula1>
            <xm:f>Parámetros!$AK$3:$AK$4</xm:f>
          </x14:formula1>
          <xm:sqref>AG6:AG17</xm:sqref>
        </x14:dataValidation>
        <x14:dataValidation type="list" allowBlank="1" showInputMessage="1" showErrorMessage="1" xr:uid="{00000000-0002-0000-0100-00000A000000}">
          <x14:formula1>
            <xm:f>Parámetros!$AN$3:$AN$4</xm:f>
          </x14:formula1>
          <xm:sqref>AH6:AH17</xm:sqref>
        </x14:dataValidation>
        <x14:dataValidation type="list" allowBlank="1" showInputMessage="1" showErrorMessage="1" xr:uid="{00000000-0002-0000-0100-00000B000000}">
          <x14:formula1>
            <xm:f>Parámetros!$AQ$3:$AQ$5</xm:f>
          </x14:formula1>
          <xm:sqref>AI6:AI17</xm:sqref>
        </x14:dataValidation>
        <x14:dataValidation type="list" allowBlank="1" showInputMessage="1" showErrorMessage="1" xr:uid="{00000000-0002-0000-0100-00000C000000}">
          <x14:formula1>
            <xm:f>Parámetros!$AT$3:$AT$4</xm:f>
          </x14:formula1>
          <xm:sqref>AJ6:AK17</xm:sqref>
        </x14:dataValidation>
        <x14:dataValidation type="list" allowBlank="1" showInputMessage="1" showErrorMessage="1" xr:uid="{00000000-0002-0000-0100-00000D000000}">
          <x14:formula1>
            <xm:f>Parámetros!$C$33:$C$35</xm:f>
          </x14:formula1>
          <xm:sqref>AL6:AL17</xm:sqref>
        </x14:dataValidation>
        <x14:dataValidation type="list" allowBlank="1" showInputMessage="1" showErrorMessage="1" xr:uid="{00000000-0002-0000-0100-00000E000000}">
          <x14:formula1>
            <xm:f>Parámetros!$C$39:$C$42</xm:f>
          </x14:formula1>
          <xm:sqref>BE6:BE16</xm:sqref>
        </x14:dataValidation>
        <x14:dataValidation type="list" allowBlank="1" showInputMessage="1" showErrorMessage="1" xr:uid="{00000000-0002-0000-0100-00000F000000}">
          <x14:formula1>
            <xm:f>Parámetros!$C$55:$C$60</xm:f>
          </x14:formula1>
          <xm:sqref>O6:O16</xm:sqref>
        </x14:dataValidation>
        <x14:dataValidation type="list" allowBlank="1" showInputMessage="1" showErrorMessage="1" xr:uid="{00000000-0002-0000-0100-000010000000}">
          <x14:formula1>
            <xm:f>Parámetros!$C$67:$C$70</xm:f>
          </x14:formula1>
          <xm:sqref>L6:L16</xm:sqref>
        </x14:dataValidation>
        <x14:dataValidation type="list" allowBlank="1" showInputMessage="1" showErrorMessage="1" xr:uid="{00000000-0002-0000-0100-000011000000}">
          <x14:formula1>
            <xm:f>Parámetros!$C$74:$C$75</xm:f>
          </x14:formula1>
          <xm:sqref>N6:N16</xm:sqref>
        </x14:dataValidation>
        <x14:dataValidation type="list" allowBlank="1" showInputMessage="1" showErrorMessage="1" xr:uid="{00000000-0002-0000-0100-000012000000}">
          <x14:formula1>
            <xm:f>Parámetros!$AW$3:$AW$6</xm:f>
          </x14:formula1>
          <xm:sqref>BH6:BH16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"/>
  <sheetViews>
    <sheetView showGridLines="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D13" sqref="D13"/>
    </sheetView>
  </sheetViews>
  <sheetFormatPr baseColWidth="10" defaultColWidth="11.44140625" defaultRowHeight="13.8"/>
  <cols>
    <col min="1" max="1" width="6.44140625" style="159" customWidth="1"/>
    <col min="2" max="2" width="7.88671875" style="159" customWidth="1"/>
    <col min="3" max="3" width="20.5546875" style="159" customWidth="1"/>
    <col min="4" max="4" width="11.6640625" style="159" bestFit="1" customWidth="1"/>
    <col min="5" max="5" width="2.44140625" style="159" customWidth="1"/>
    <col min="6" max="6" width="11" style="159" bestFit="1" customWidth="1"/>
    <col min="7" max="7" width="11.44140625" style="159"/>
    <col min="8" max="8" width="15.33203125" style="159" customWidth="1"/>
    <col min="9" max="9" width="19" style="159" customWidth="1"/>
    <col min="10" max="11" width="5" style="159" customWidth="1"/>
    <col min="12" max="12" width="7.88671875" style="159" customWidth="1"/>
    <col min="13" max="13" width="20.5546875" style="159" customWidth="1"/>
    <col min="14" max="14" width="11.6640625" style="159" bestFit="1" customWidth="1"/>
    <col min="15" max="15" width="2.44140625" style="159" customWidth="1"/>
    <col min="16" max="16" width="11" style="159" bestFit="1" customWidth="1"/>
    <col min="17" max="17" width="11.44140625" style="159"/>
    <col min="18" max="18" width="15.33203125" style="159" customWidth="1"/>
    <col min="19" max="19" width="19" style="159" customWidth="1"/>
    <col min="20" max="20" width="6.109375" style="159" customWidth="1"/>
    <col min="21" max="16384" width="11.44140625" style="159"/>
  </cols>
  <sheetData>
    <row r="1" spans="1:20">
      <c r="A1" s="190"/>
      <c r="B1" s="190"/>
      <c r="C1" s="190"/>
      <c r="D1" s="190"/>
      <c r="E1" s="190"/>
      <c r="F1" s="190"/>
      <c r="G1" s="190"/>
      <c r="H1" s="190"/>
      <c r="I1" s="190"/>
      <c r="J1" s="191"/>
      <c r="K1" s="190"/>
      <c r="L1" s="190"/>
      <c r="M1" s="190"/>
      <c r="N1" s="190"/>
      <c r="O1" s="190"/>
      <c r="P1" s="190"/>
      <c r="Q1" s="190"/>
      <c r="R1" s="190"/>
      <c r="S1" s="190"/>
      <c r="T1" s="191"/>
    </row>
    <row r="2" spans="1:20" ht="15.6">
      <c r="A2" s="192"/>
      <c r="B2" s="275" t="s">
        <v>460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191"/>
    </row>
    <row r="3" spans="1:20" ht="15.6">
      <c r="A3" s="19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91"/>
    </row>
    <row r="4" spans="1:20">
      <c r="A4" s="183"/>
      <c r="B4" s="184"/>
      <c r="C4" s="184"/>
      <c r="D4" s="184"/>
      <c r="E4" s="184"/>
      <c r="F4" s="184"/>
      <c r="G4" s="184"/>
      <c r="H4" s="184"/>
      <c r="I4" s="184"/>
      <c r="J4" s="185"/>
      <c r="K4" s="187"/>
      <c r="L4" s="184"/>
      <c r="M4" s="184"/>
      <c r="N4" s="184"/>
      <c r="O4" s="184"/>
      <c r="P4" s="184"/>
      <c r="Q4" s="184"/>
      <c r="R4" s="184"/>
      <c r="S4" s="184"/>
      <c r="T4" s="185"/>
    </row>
    <row r="5" spans="1:20">
      <c r="A5" s="157"/>
      <c r="J5" s="180"/>
      <c r="K5" s="188"/>
      <c r="T5" s="180"/>
    </row>
    <row r="6" spans="1:20" ht="14.25" customHeight="1">
      <c r="A6" s="157"/>
      <c r="B6" s="160" t="s">
        <v>0</v>
      </c>
      <c r="C6" s="161">
        <v>1</v>
      </c>
      <c r="D6" s="176"/>
      <c r="E6" s="177"/>
      <c r="F6" s="176"/>
      <c r="H6" s="170" t="s">
        <v>422</v>
      </c>
      <c r="I6" s="178" t="str">
        <f>IF(C6="","",VLOOKUP(C6,'SARO-02'!$A$5:$H$517,7,FALSE))</f>
        <v>Fallas en gestión de alertas</v>
      </c>
      <c r="J6" s="180"/>
      <c r="K6" s="188"/>
      <c r="L6" s="160" t="s">
        <v>0</v>
      </c>
      <c r="M6" s="161"/>
      <c r="N6" s="176"/>
      <c r="O6" s="177"/>
      <c r="P6" s="176"/>
      <c r="R6" s="170" t="s">
        <v>422</v>
      </c>
      <c r="S6" s="178" t="str">
        <f>IF(M6="","",VLOOKUP(M6,'SARO-02'!$A$5:$H$517,7,FALSE))</f>
        <v/>
      </c>
      <c r="T6" s="180"/>
    </row>
    <row r="7" spans="1:20">
      <c r="A7" s="157"/>
      <c r="B7" s="162" t="s">
        <v>51</v>
      </c>
      <c r="C7" s="267" t="str">
        <f>IF(C6="","",VLOOKUP(C6,'SARO-02'!$A$5:$H$517,8,FALSE))</f>
        <v>Fallas en registro u omisión de reporte de clientes (Funcionario o…)  podría ocasionar no reportemos operacions sospechosas o inusuales a SBS generando multa de SBS o UIF</v>
      </c>
      <c r="D7" s="268"/>
      <c r="E7" s="268"/>
      <c r="F7" s="268"/>
      <c r="G7" s="268"/>
      <c r="H7" s="268"/>
      <c r="I7" s="269"/>
      <c r="J7" s="180"/>
      <c r="K7" s="188"/>
      <c r="L7" s="162" t="s">
        <v>51</v>
      </c>
      <c r="M7" s="267" t="str">
        <f>IF(M6="","",VLOOKUP(M6,'SARO-02'!$A$5:$H$517,8,FALSE))</f>
        <v/>
      </c>
      <c r="N7" s="268"/>
      <c r="O7" s="268"/>
      <c r="P7" s="268"/>
      <c r="Q7" s="268"/>
      <c r="R7" s="268"/>
      <c r="S7" s="269"/>
      <c r="T7" s="180"/>
    </row>
    <row r="8" spans="1:20">
      <c r="A8" s="157"/>
      <c r="J8" s="180"/>
      <c r="K8" s="188"/>
      <c r="T8" s="180"/>
    </row>
    <row r="9" spans="1:20" ht="14.25" customHeight="1">
      <c r="A9" s="157"/>
      <c r="B9" s="273" t="s">
        <v>458</v>
      </c>
      <c r="C9" s="274"/>
      <c r="D9" s="234">
        <f>90*12</f>
        <v>1080</v>
      </c>
      <c r="J9" s="180"/>
      <c r="K9" s="188"/>
      <c r="L9" s="273" t="s">
        <v>458</v>
      </c>
      <c r="M9" s="274"/>
      <c r="N9" s="174"/>
      <c r="T9" s="186"/>
    </row>
    <row r="10" spans="1:20">
      <c r="A10" s="157"/>
      <c r="C10" s="158"/>
      <c r="J10" s="180"/>
      <c r="K10" s="188"/>
      <c r="M10" s="158"/>
      <c r="T10" s="180"/>
    </row>
    <row r="11" spans="1:20">
      <c r="A11" s="157"/>
      <c r="B11" s="263" t="s">
        <v>399</v>
      </c>
      <c r="C11" s="263"/>
      <c r="D11" s="179"/>
      <c r="J11" s="180"/>
      <c r="K11" s="188"/>
      <c r="L11" s="263" t="s">
        <v>399</v>
      </c>
      <c r="M11" s="263"/>
      <c r="N11" s="179"/>
      <c r="T11" s="180"/>
    </row>
    <row r="12" spans="1:20">
      <c r="A12" s="157"/>
      <c r="B12" s="158" t="s">
        <v>456</v>
      </c>
      <c r="C12" s="175"/>
      <c r="F12" s="158" t="s">
        <v>457</v>
      </c>
      <c r="J12" s="180"/>
      <c r="K12" s="188"/>
      <c r="L12" s="158" t="s">
        <v>456</v>
      </c>
      <c r="M12" s="175"/>
      <c r="P12" s="158" t="s">
        <v>457</v>
      </c>
      <c r="T12" s="180"/>
    </row>
    <row r="13" spans="1:20">
      <c r="A13" s="157"/>
      <c r="B13" s="261" t="s">
        <v>427</v>
      </c>
      <c r="C13" s="262"/>
      <c r="D13" s="163"/>
      <c r="E13" s="172"/>
      <c r="F13" s="164" t="s">
        <v>52</v>
      </c>
      <c r="G13" s="264"/>
      <c r="H13" s="265"/>
      <c r="I13" s="266"/>
      <c r="J13" s="180"/>
      <c r="K13" s="188"/>
      <c r="L13" s="261" t="s">
        <v>427</v>
      </c>
      <c r="M13" s="262"/>
      <c r="N13" s="163"/>
      <c r="O13" s="172"/>
      <c r="P13" s="164" t="s">
        <v>52</v>
      </c>
      <c r="Q13" s="264"/>
      <c r="R13" s="265"/>
      <c r="S13" s="266"/>
      <c r="T13" s="180"/>
    </row>
    <row r="14" spans="1:20">
      <c r="A14" s="157"/>
      <c r="B14" s="261" t="s">
        <v>428</v>
      </c>
      <c r="C14" s="262"/>
      <c r="D14" s="165"/>
      <c r="E14" s="173"/>
      <c r="F14" s="164" t="s">
        <v>53</v>
      </c>
      <c r="G14" s="169"/>
      <c r="H14" s="171"/>
      <c r="I14" s="167"/>
      <c r="J14" s="180"/>
      <c r="K14" s="188"/>
      <c r="L14" s="261" t="s">
        <v>428</v>
      </c>
      <c r="M14" s="262"/>
      <c r="N14" s="165"/>
      <c r="O14" s="173"/>
      <c r="P14" s="164" t="s">
        <v>53</v>
      </c>
      <c r="Q14" s="169"/>
      <c r="R14" s="171"/>
      <c r="S14" s="167"/>
      <c r="T14" s="180"/>
    </row>
    <row r="15" spans="1:20">
      <c r="A15" s="157"/>
      <c r="C15" s="158"/>
      <c r="J15" s="180"/>
      <c r="K15" s="188"/>
      <c r="M15" s="158"/>
      <c r="T15" s="180"/>
    </row>
    <row r="16" spans="1:20">
      <c r="A16" s="157"/>
      <c r="B16" s="263" t="s">
        <v>459</v>
      </c>
      <c r="C16" s="263"/>
      <c r="D16" s="179"/>
      <c r="J16" s="180"/>
      <c r="K16" s="188"/>
      <c r="L16" s="263" t="s">
        <v>459</v>
      </c>
      <c r="M16" s="263"/>
      <c r="N16" s="179"/>
      <c r="T16" s="180"/>
    </row>
    <row r="17" spans="1:20">
      <c r="A17" s="157"/>
      <c r="B17" s="158" t="s">
        <v>456</v>
      </c>
      <c r="C17" s="175"/>
      <c r="F17" s="158" t="s">
        <v>457</v>
      </c>
      <c r="J17" s="180"/>
      <c r="K17" s="188"/>
      <c r="L17" s="158" t="s">
        <v>456</v>
      </c>
      <c r="M17" s="175"/>
      <c r="P17" s="158" t="s">
        <v>457</v>
      </c>
      <c r="T17" s="180"/>
    </row>
    <row r="18" spans="1:20">
      <c r="A18" s="157"/>
      <c r="B18" s="261" t="s">
        <v>427</v>
      </c>
      <c r="C18" s="262"/>
      <c r="D18" s="163"/>
      <c r="E18" s="172"/>
      <c r="F18" s="164" t="s">
        <v>52</v>
      </c>
      <c r="G18" s="264"/>
      <c r="H18" s="265"/>
      <c r="I18" s="266"/>
      <c r="J18" s="180"/>
      <c r="K18" s="188"/>
      <c r="L18" s="261" t="s">
        <v>427</v>
      </c>
      <c r="M18" s="262"/>
      <c r="N18" s="163"/>
      <c r="O18" s="172"/>
      <c r="P18" s="164" t="s">
        <v>52</v>
      </c>
      <c r="Q18" s="264"/>
      <c r="R18" s="265"/>
      <c r="S18" s="266"/>
      <c r="T18" s="180"/>
    </row>
    <row r="19" spans="1:20">
      <c r="A19" s="157"/>
      <c r="B19" s="261" t="s">
        <v>428</v>
      </c>
      <c r="C19" s="262"/>
      <c r="D19" s="165"/>
      <c r="E19" s="173"/>
      <c r="F19" s="164" t="s">
        <v>53</v>
      </c>
      <c r="G19" s="169"/>
      <c r="H19" s="171"/>
      <c r="I19" s="167"/>
      <c r="J19" s="180"/>
      <c r="K19" s="188"/>
      <c r="L19" s="261" t="s">
        <v>428</v>
      </c>
      <c r="M19" s="262"/>
      <c r="N19" s="165"/>
      <c r="O19" s="173"/>
      <c r="P19" s="164" t="s">
        <v>53</v>
      </c>
      <c r="Q19" s="169"/>
      <c r="R19" s="171"/>
      <c r="S19" s="167"/>
      <c r="T19" s="180"/>
    </row>
    <row r="20" spans="1:20">
      <c r="A20" s="157"/>
      <c r="B20" s="261" t="s">
        <v>428</v>
      </c>
      <c r="C20" s="262"/>
      <c r="D20" s="165"/>
      <c r="E20" s="173"/>
      <c r="F20" s="164" t="s">
        <v>54</v>
      </c>
      <c r="G20" s="169"/>
      <c r="H20" s="171"/>
      <c r="I20" s="167"/>
      <c r="J20" s="180"/>
      <c r="K20" s="188"/>
      <c r="L20" s="261" t="s">
        <v>428</v>
      </c>
      <c r="M20" s="262"/>
      <c r="N20" s="165"/>
      <c r="O20" s="173"/>
      <c r="P20" s="164" t="s">
        <v>54</v>
      </c>
      <c r="Q20" s="169"/>
      <c r="R20" s="171"/>
      <c r="S20" s="167"/>
      <c r="T20" s="180"/>
    </row>
    <row r="21" spans="1:20">
      <c r="A21" s="157"/>
      <c r="B21" s="261" t="s">
        <v>428</v>
      </c>
      <c r="C21" s="262"/>
      <c r="D21" s="166"/>
      <c r="E21" s="157"/>
      <c r="F21" s="164" t="s">
        <v>55</v>
      </c>
      <c r="G21" s="270"/>
      <c r="H21" s="271"/>
      <c r="I21" s="272"/>
      <c r="J21" s="180"/>
      <c r="K21" s="188"/>
      <c r="L21" s="261" t="s">
        <v>428</v>
      </c>
      <c r="M21" s="262"/>
      <c r="N21" s="166"/>
      <c r="O21" s="157"/>
      <c r="P21" s="164" t="s">
        <v>55</v>
      </c>
      <c r="Q21" s="270"/>
      <c r="R21" s="271"/>
      <c r="S21" s="272"/>
      <c r="T21" s="180"/>
    </row>
    <row r="22" spans="1:20">
      <c r="A22" s="168"/>
      <c r="B22" s="168"/>
      <c r="C22" s="168"/>
      <c r="D22" s="168"/>
      <c r="E22" s="168"/>
      <c r="F22" s="168"/>
      <c r="G22" s="168"/>
      <c r="H22" s="168"/>
      <c r="I22" s="168"/>
      <c r="J22" s="181"/>
      <c r="K22" s="189"/>
      <c r="L22" s="168"/>
      <c r="M22" s="168"/>
      <c r="N22" s="168"/>
      <c r="O22" s="168"/>
      <c r="P22" s="168"/>
      <c r="Q22" s="168"/>
      <c r="R22" s="168"/>
      <c r="S22" s="168"/>
      <c r="T22" s="180"/>
    </row>
    <row r="23" spans="1:20">
      <c r="J23" s="180"/>
      <c r="T23" s="180"/>
    </row>
    <row r="24" spans="1:20" ht="14.25" customHeight="1">
      <c r="A24" s="157"/>
      <c r="B24" s="160" t="s">
        <v>0</v>
      </c>
      <c r="C24" s="161"/>
      <c r="D24" s="176"/>
      <c r="E24" s="177"/>
      <c r="F24" s="176"/>
      <c r="H24" s="170" t="s">
        <v>422</v>
      </c>
      <c r="I24" s="178" t="str">
        <f>IF(C24="","",VLOOKUP(C24,'SARO-02'!$A$5:$H$517,7,FALSE))</f>
        <v/>
      </c>
      <c r="J24" s="180"/>
      <c r="L24" s="160" t="s">
        <v>0</v>
      </c>
      <c r="M24" s="161"/>
      <c r="N24" s="176"/>
      <c r="O24" s="177"/>
      <c r="P24" s="176"/>
      <c r="R24" s="170" t="s">
        <v>422</v>
      </c>
      <c r="S24" s="178" t="str">
        <f>IF(M24="","",VLOOKUP(M24,'SARO-02'!$A$5:$H$517,7,FALSE))</f>
        <v/>
      </c>
      <c r="T24" s="180"/>
    </row>
    <row r="25" spans="1:20">
      <c r="A25" s="157"/>
      <c r="B25" s="162" t="s">
        <v>51</v>
      </c>
      <c r="C25" s="267" t="str">
        <f>IF(C24="","",VLOOKUP(C24,'SARO-02'!$A$5:$H$517,8,FALSE))</f>
        <v/>
      </c>
      <c r="D25" s="268"/>
      <c r="E25" s="268"/>
      <c r="F25" s="268"/>
      <c r="G25" s="268"/>
      <c r="H25" s="268"/>
      <c r="I25" s="269"/>
      <c r="J25" s="180"/>
      <c r="L25" s="162" t="s">
        <v>51</v>
      </c>
      <c r="M25" s="267" t="str">
        <f>IF(M24="","",VLOOKUP(M24,'SARO-02'!$A$5:$H$517,8,FALSE))</f>
        <v/>
      </c>
      <c r="N25" s="268"/>
      <c r="O25" s="268"/>
      <c r="P25" s="268"/>
      <c r="Q25" s="268"/>
      <c r="R25" s="268"/>
      <c r="S25" s="269"/>
      <c r="T25" s="180"/>
    </row>
    <row r="26" spans="1:20">
      <c r="A26" s="157"/>
      <c r="J26" s="180"/>
      <c r="T26" s="180"/>
    </row>
    <row r="27" spans="1:20" ht="14.25" customHeight="1">
      <c r="A27" s="157"/>
      <c r="B27" s="273" t="s">
        <v>458</v>
      </c>
      <c r="C27" s="274"/>
      <c r="D27" s="174"/>
      <c r="J27" s="180"/>
      <c r="L27" s="273" t="s">
        <v>458</v>
      </c>
      <c r="M27" s="274"/>
      <c r="N27" s="174"/>
      <c r="T27" s="186"/>
    </row>
    <row r="28" spans="1:20">
      <c r="A28" s="157"/>
      <c r="C28" s="158"/>
      <c r="J28" s="180"/>
      <c r="M28" s="158"/>
      <c r="T28" s="180"/>
    </row>
    <row r="29" spans="1:20">
      <c r="A29" s="157"/>
      <c r="B29" s="263" t="s">
        <v>399</v>
      </c>
      <c r="C29" s="263"/>
      <c r="D29" s="179"/>
      <c r="J29" s="180"/>
      <c r="L29" s="263" t="s">
        <v>399</v>
      </c>
      <c r="M29" s="263"/>
      <c r="N29" s="179"/>
      <c r="T29" s="180"/>
    </row>
    <row r="30" spans="1:20">
      <c r="A30" s="157"/>
      <c r="B30" s="158" t="s">
        <v>456</v>
      </c>
      <c r="C30" s="175"/>
      <c r="F30" s="158" t="s">
        <v>457</v>
      </c>
      <c r="J30" s="180"/>
      <c r="L30" s="158" t="s">
        <v>456</v>
      </c>
      <c r="M30" s="175"/>
      <c r="P30" s="158" t="s">
        <v>457</v>
      </c>
      <c r="T30" s="180"/>
    </row>
    <row r="31" spans="1:20">
      <c r="A31" s="157"/>
      <c r="B31" s="261" t="s">
        <v>427</v>
      </c>
      <c r="C31" s="262"/>
      <c r="D31" s="163"/>
      <c r="E31" s="172"/>
      <c r="F31" s="164" t="s">
        <v>52</v>
      </c>
      <c r="G31" s="264"/>
      <c r="H31" s="265"/>
      <c r="I31" s="266"/>
      <c r="J31" s="180"/>
      <c r="L31" s="261" t="s">
        <v>427</v>
      </c>
      <c r="M31" s="262"/>
      <c r="N31" s="163"/>
      <c r="O31" s="172"/>
      <c r="P31" s="164" t="s">
        <v>52</v>
      </c>
      <c r="Q31" s="264"/>
      <c r="R31" s="265"/>
      <c r="S31" s="266"/>
      <c r="T31" s="180"/>
    </row>
    <row r="32" spans="1:20">
      <c r="A32" s="157"/>
      <c r="B32" s="261" t="s">
        <v>428</v>
      </c>
      <c r="C32" s="262"/>
      <c r="D32" s="165"/>
      <c r="E32" s="173"/>
      <c r="F32" s="164" t="s">
        <v>53</v>
      </c>
      <c r="G32" s="169"/>
      <c r="H32" s="171"/>
      <c r="I32" s="167"/>
      <c r="J32" s="180"/>
      <c r="L32" s="261" t="s">
        <v>428</v>
      </c>
      <c r="M32" s="262"/>
      <c r="N32" s="165"/>
      <c r="O32" s="173"/>
      <c r="P32" s="164" t="s">
        <v>53</v>
      </c>
      <c r="Q32" s="169"/>
      <c r="R32" s="171"/>
      <c r="S32" s="167"/>
      <c r="T32" s="180"/>
    </row>
    <row r="33" spans="1:20">
      <c r="A33" s="157"/>
      <c r="C33" s="158"/>
      <c r="J33" s="180"/>
      <c r="M33" s="158"/>
      <c r="T33" s="180"/>
    </row>
    <row r="34" spans="1:20">
      <c r="A34" s="157"/>
      <c r="B34" s="263" t="s">
        <v>459</v>
      </c>
      <c r="C34" s="263"/>
      <c r="D34" s="179"/>
      <c r="J34" s="180"/>
      <c r="L34" s="263" t="s">
        <v>459</v>
      </c>
      <c r="M34" s="263"/>
      <c r="N34" s="179"/>
      <c r="T34" s="180"/>
    </row>
    <row r="35" spans="1:20">
      <c r="A35" s="157"/>
      <c r="B35" s="158" t="s">
        <v>456</v>
      </c>
      <c r="C35" s="175"/>
      <c r="F35" s="158" t="s">
        <v>457</v>
      </c>
      <c r="J35" s="180"/>
      <c r="L35" s="158" t="s">
        <v>456</v>
      </c>
      <c r="M35" s="175"/>
      <c r="P35" s="158" t="s">
        <v>457</v>
      </c>
      <c r="T35" s="180"/>
    </row>
    <row r="36" spans="1:20">
      <c r="A36" s="157"/>
      <c r="B36" s="261" t="s">
        <v>427</v>
      </c>
      <c r="C36" s="262"/>
      <c r="D36" s="163"/>
      <c r="E36" s="172"/>
      <c r="F36" s="164" t="s">
        <v>52</v>
      </c>
      <c r="G36" s="264"/>
      <c r="H36" s="265"/>
      <c r="I36" s="266"/>
      <c r="J36" s="180"/>
      <c r="L36" s="261" t="s">
        <v>427</v>
      </c>
      <c r="M36" s="262"/>
      <c r="N36" s="163"/>
      <c r="O36" s="172"/>
      <c r="P36" s="164" t="s">
        <v>52</v>
      </c>
      <c r="Q36" s="264"/>
      <c r="R36" s="265"/>
      <c r="S36" s="266"/>
      <c r="T36" s="180"/>
    </row>
    <row r="37" spans="1:20">
      <c r="A37" s="157"/>
      <c r="B37" s="261" t="s">
        <v>428</v>
      </c>
      <c r="C37" s="262"/>
      <c r="D37" s="165"/>
      <c r="E37" s="173"/>
      <c r="F37" s="164" t="s">
        <v>53</v>
      </c>
      <c r="G37" s="169"/>
      <c r="H37" s="171"/>
      <c r="I37" s="167"/>
      <c r="J37" s="180"/>
      <c r="L37" s="261" t="s">
        <v>428</v>
      </c>
      <c r="M37" s="262"/>
      <c r="N37" s="165"/>
      <c r="O37" s="173"/>
      <c r="P37" s="164" t="s">
        <v>53</v>
      </c>
      <c r="Q37" s="169"/>
      <c r="R37" s="171"/>
      <c r="S37" s="167"/>
      <c r="T37" s="180"/>
    </row>
    <row r="38" spans="1:20">
      <c r="A38" s="157"/>
      <c r="B38" s="261" t="s">
        <v>428</v>
      </c>
      <c r="C38" s="262"/>
      <c r="D38" s="165"/>
      <c r="E38" s="173"/>
      <c r="F38" s="164" t="s">
        <v>54</v>
      </c>
      <c r="G38" s="169"/>
      <c r="H38" s="171"/>
      <c r="I38" s="167"/>
      <c r="J38" s="180"/>
      <c r="L38" s="261" t="s">
        <v>428</v>
      </c>
      <c r="M38" s="262"/>
      <c r="N38" s="165"/>
      <c r="O38" s="173"/>
      <c r="P38" s="164" t="s">
        <v>54</v>
      </c>
      <c r="Q38" s="169"/>
      <c r="R38" s="171"/>
      <c r="S38" s="167"/>
      <c r="T38" s="180"/>
    </row>
    <row r="39" spans="1:20">
      <c r="A39" s="157"/>
      <c r="B39" s="261" t="s">
        <v>428</v>
      </c>
      <c r="C39" s="262"/>
      <c r="D39" s="166"/>
      <c r="E39" s="157"/>
      <c r="F39" s="164" t="s">
        <v>55</v>
      </c>
      <c r="G39" s="270"/>
      <c r="H39" s="271"/>
      <c r="I39" s="272"/>
      <c r="J39" s="180"/>
      <c r="L39" s="261" t="s">
        <v>428</v>
      </c>
      <c r="M39" s="262"/>
      <c r="N39" s="166"/>
      <c r="O39" s="157"/>
      <c r="P39" s="164" t="s">
        <v>55</v>
      </c>
      <c r="Q39" s="270"/>
      <c r="R39" s="271"/>
      <c r="S39" s="272"/>
      <c r="T39" s="180"/>
    </row>
    <row r="40" spans="1:20">
      <c r="A40" s="168"/>
      <c r="B40" s="168"/>
      <c r="C40" s="168"/>
      <c r="D40" s="168"/>
      <c r="E40" s="168"/>
      <c r="F40" s="168"/>
      <c r="G40" s="168"/>
      <c r="H40" s="168"/>
      <c r="I40" s="168"/>
      <c r="J40" s="181"/>
      <c r="K40" s="168"/>
      <c r="L40" s="168"/>
      <c r="M40" s="168"/>
      <c r="N40" s="168"/>
      <c r="O40" s="168"/>
      <c r="P40" s="168"/>
      <c r="Q40" s="168"/>
      <c r="R40" s="168"/>
      <c r="S40" s="168"/>
      <c r="T40" s="180"/>
    </row>
    <row r="41" spans="1:20">
      <c r="J41" s="180"/>
      <c r="T41" s="180"/>
    </row>
    <row r="42" spans="1:20" ht="14.25" customHeight="1">
      <c r="A42" s="157"/>
      <c r="B42" s="160" t="s">
        <v>0</v>
      </c>
      <c r="C42" s="161"/>
      <c r="D42" s="176"/>
      <c r="E42" s="177"/>
      <c r="F42" s="176"/>
      <c r="H42" s="170" t="s">
        <v>422</v>
      </c>
      <c r="I42" s="178" t="str">
        <f>IF(C42="","",VLOOKUP(C42,'SARO-02'!$A$5:$H$517,7,FALSE))</f>
        <v/>
      </c>
      <c r="J42" s="180"/>
      <c r="L42" s="160" t="s">
        <v>0</v>
      </c>
      <c r="M42" s="161"/>
      <c r="N42" s="176"/>
      <c r="O42" s="177"/>
      <c r="P42" s="176"/>
      <c r="R42" s="170" t="s">
        <v>422</v>
      </c>
      <c r="S42" s="178" t="str">
        <f>IF(M42="","",VLOOKUP(M42,'SARO-02'!$A$5:$H$517,7,FALSE))</f>
        <v/>
      </c>
      <c r="T42" s="180"/>
    </row>
    <row r="43" spans="1:20">
      <c r="A43" s="157"/>
      <c r="B43" s="162" t="s">
        <v>51</v>
      </c>
      <c r="C43" s="267" t="str">
        <f>IF(C42="","",VLOOKUP(C42,'SARO-02'!$A$5:$H$517,8,FALSE))</f>
        <v/>
      </c>
      <c r="D43" s="268"/>
      <c r="E43" s="268"/>
      <c r="F43" s="268"/>
      <c r="G43" s="268"/>
      <c r="H43" s="268"/>
      <c r="I43" s="269"/>
      <c r="J43" s="180"/>
      <c r="L43" s="162" t="s">
        <v>51</v>
      </c>
      <c r="M43" s="267" t="str">
        <f>IF(M42="","",VLOOKUP(M42,'SARO-02'!$A$5:$H$517,8,FALSE))</f>
        <v/>
      </c>
      <c r="N43" s="268"/>
      <c r="O43" s="268"/>
      <c r="P43" s="268"/>
      <c r="Q43" s="268"/>
      <c r="R43" s="268"/>
      <c r="S43" s="269"/>
      <c r="T43" s="180"/>
    </row>
    <row r="44" spans="1:20">
      <c r="A44" s="157"/>
      <c r="J44" s="180"/>
      <c r="T44" s="180"/>
    </row>
    <row r="45" spans="1:20" ht="14.25" customHeight="1">
      <c r="A45" s="157"/>
      <c r="B45" s="273" t="s">
        <v>458</v>
      </c>
      <c r="C45" s="274"/>
      <c r="D45" s="174"/>
      <c r="J45" s="180"/>
      <c r="L45" s="273" t="s">
        <v>458</v>
      </c>
      <c r="M45" s="274"/>
      <c r="N45" s="174"/>
      <c r="T45" s="186"/>
    </row>
    <row r="46" spans="1:20">
      <c r="A46" s="157"/>
      <c r="C46" s="158"/>
      <c r="J46" s="180"/>
      <c r="M46" s="158"/>
      <c r="T46" s="180"/>
    </row>
    <row r="47" spans="1:20">
      <c r="A47" s="157"/>
      <c r="B47" s="263" t="s">
        <v>399</v>
      </c>
      <c r="C47" s="263"/>
      <c r="D47" s="179"/>
      <c r="J47" s="180"/>
      <c r="L47" s="263" t="s">
        <v>399</v>
      </c>
      <c r="M47" s="263"/>
      <c r="N47" s="179"/>
      <c r="T47" s="180"/>
    </row>
    <row r="48" spans="1:20">
      <c r="A48" s="157"/>
      <c r="B48" s="158" t="s">
        <v>456</v>
      </c>
      <c r="C48" s="175"/>
      <c r="F48" s="158" t="s">
        <v>457</v>
      </c>
      <c r="J48" s="180"/>
      <c r="L48" s="158" t="s">
        <v>456</v>
      </c>
      <c r="M48" s="175"/>
      <c r="P48" s="158" t="s">
        <v>457</v>
      </c>
      <c r="T48" s="180"/>
    </row>
    <row r="49" spans="1:20">
      <c r="A49" s="157"/>
      <c r="B49" s="261" t="s">
        <v>427</v>
      </c>
      <c r="C49" s="262"/>
      <c r="D49" s="163"/>
      <c r="E49" s="172"/>
      <c r="F49" s="164" t="s">
        <v>52</v>
      </c>
      <c r="G49" s="264"/>
      <c r="H49" s="265"/>
      <c r="I49" s="266"/>
      <c r="J49" s="180"/>
      <c r="L49" s="261" t="s">
        <v>427</v>
      </c>
      <c r="M49" s="262"/>
      <c r="N49" s="163"/>
      <c r="O49" s="172"/>
      <c r="P49" s="164" t="s">
        <v>52</v>
      </c>
      <c r="Q49" s="264"/>
      <c r="R49" s="265"/>
      <c r="S49" s="266"/>
      <c r="T49" s="180"/>
    </row>
    <row r="50" spans="1:20">
      <c r="A50" s="157"/>
      <c r="B50" s="261" t="s">
        <v>428</v>
      </c>
      <c r="C50" s="262"/>
      <c r="D50" s="165"/>
      <c r="E50" s="173"/>
      <c r="F50" s="164" t="s">
        <v>53</v>
      </c>
      <c r="G50" s="169"/>
      <c r="H50" s="171"/>
      <c r="I50" s="167"/>
      <c r="J50" s="180"/>
      <c r="L50" s="261" t="s">
        <v>428</v>
      </c>
      <c r="M50" s="262"/>
      <c r="N50" s="165"/>
      <c r="O50" s="173"/>
      <c r="P50" s="164" t="s">
        <v>53</v>
      </c>
      <c r="Q50" s="169"/>
      <c r="R50" s="171"/>
      <c r="S50" s="167"/>
      <c r="T50" s="180"/>
    </row>
    <row r="51" spans="1:20">
      <c r="A51" s="157"/>
      <c r="C51" s="158"/>
      <c r="J51" s="180"/>
      <c r="M51" s="158"/>
      <c r="T51" s="180"/>
    </row>
    <row r="52" spans="1:20">
      <c r="A52" s="157"/>
      <c r="B52" s="263" t="s">
        <v>459</v>
      </c>
      <c r="C52" s="263"/>
      <c r="D52" s="179"/>
      <c r="J52" s="180"/>
      <c r="L52" s="263" t="s">
        <v>459</v>
      </c>
      <c r="M52" s="263"/>
      <c r="N52" s="179"/>
      <c r="T52" s="180"/>
    </row>
    <row r="53" spans="1:20">
      <c r="A53" s="157"/>
      <c r="B53" s="158" t="s">
        <v>456</v>
      </c>
      <c r="C53" s="175"/>
      <c r="F53" s="158" t="s">
        <v>457</v>
      </c>
      <c r="J53" s="180"/>
      <c r="L53" s="158" t="s">
        <v>456</v>
      </c>
      <c r="M53" s="175"/>
      <c r="P53" s="158" t="s">
        <v>457</v>
      </c>
      <c r="T53" s="180"/>
    </row>
    <row r="54" spans="1:20">
      <c r="A54" s="157"/>
      <c r="B54" s="261" t="s">
        <v>427</v>
      </c>
      <c r="C54" s="262"/>
      <c r="D54" s="163"/>
      <c r="E54" s="172"/>
      <c r="F54" s="164" t="s">
        <v>52</v>
      </c>
      <c r="G54" s="264"/>
      <c r="H54" s="265"/>
      <c r="I54" s="266"/>
      <c r="J54" s="180"/>
      <c r="L54" s="261" t="s">
        <v>427</v>
      </c>
      <c r="M54" s="262"/>
      <c r="N54" s="163"/>
      <c r="O54" s="172"/>
      <c r="P54" s="164" t="s">
        <v>52</v>
      </c>
      <c r="Q54" s="264"/>
      <c r="R54" s="265"/>
      <c r="S54" s="266"/>
      <c r="T54" s="180"/>
    </row>
    <row r="55" spans="1:20">
      <c r="A55" s="157"/>
      <c r="B55" s="261" t="s">
        <v>428</v>
      </c>
      <c r="C55" s="262"/>
      <c r="D55" s="165"/>
      <c r="E55" s="173"/>
      <c r="F55" s="164" t="s">
        <v>53</v>
      </c>
      <c r="G55" s="169"/>
      <c r="H55" s="171"/>
      <c r="I55" s="167"/>
      <c r="J55" s="180"/>
      <c r="L55" s="261" t="s">
        <v>428</v>
      </c>
      <c r="M55" s="262"/>
      <c r="N55" s="165"/>
      <c r="O55" s="173"/>
      <c r="P55" s="164" t="s">
        <v>53</v>
      </c>
      <c r="Q55" s="169"/>
      <c r="R55" s="171"/>
      <c r="S55" s="167"/>
      <c r="T55" s="180"/>
    </row>
    <row r="56" spans="1:20">
      <c r="A56" s="157"/>
      <c r="B56" s="261" t="s">
        <v>428</v>
      </c>
      <c r="C56" s="262"/>
      <c r="D56" s="165"/>
      <c r="E56" s="173"/>
      <c r="F56" s="164" t="s">
        <v>54</v>
      </c>
      <c r="G56" s="169"/>
      <c r="H56" s="171"/>
      <c r="I56" s="167"/>
      <c r="J56" s="180"/>
      <c r="L56" s="261" t="s">
        <v>428</v>
      </c>
      <c r="M56" s="262"/>
      <c r="N56" s="165"/>
      <c r="O56" s="173"/>
      <c r="P56" s="164" t="s">
        <v>54</v>
      </c>
      <c r="Q56" s="169"/>
      <c r="R56" s="171"/>
      <c r="S56" s="167"/>
      <c r="T56" s="180"/>
    </row>
    <row r="57" spans="1:20">
      <c r="A57" s="157"/>
      <c r="B57" s="261" t="s">
        <v>428</v>
      </c>
      <c r="C57" s="262"/>
      <c r="D57" s="166"/>
      <c r="E57" s="157"/>
      <c r="F57" s="164" t="s">
        <v>55</v>
      </c>
      <c r="G57" s="270"/>
      <c r="H57" s="271"/>
      <c r="I57" s="272"/>
      <c r="J57" s="180"/>
      <c r="L57" s="261" t="s">
        <v>428</v>
      </c>
      <c r="M57" s="262"/>
      <c r="N57" s="166"/>
      <c r="O57" s="157"/>
      <c r="P57" s="164" t="s">
        <v>55</v>
      </c>
      <c r="Q57" s="270"/>
      <c r="R57" s="271"/>
      <c r="S57" s="272"/>
      <c r="T57" s="180"/>
    </row>
    <row r="58" spans="1:20">
      <c r="A58" s="168"/>
      <c r="B58" s="168"/>
      <c r="C58" s="168"/>
      <c r="D58" s="168"/>
      <c r="E58" s="168"/>
      <c r="F58" s="168"/>
      <c r="G58" s="168"/>
      <c r="H58" s="168"/>
      <c r="I58" s="168"/>
      <c r="J58" s="181"/>
      <c r="K58" s="168"/>
      <c r="L58" s="168"/>
      <c r="M58" s="168"/>
      <c r="N58" s="168"/>
      <c r="O58" s="168"/>
      <c r="P58" s="168"/>
      <c r="Q58" s="168"/>
      <c r="R58" s="168"/>
      <c r="S58" s="168"/>
      <c r="T58" s="180"/>
    </row>
    <row r="59" spans="1:20">
      <c r="J59" s="180"/>
      <c r="T59" s="180"/>
    </row>
    <row r="60" spans="1:20" ht="14.25" customHeight="1">
      <c r="A60" s="157"/>
      <c r="B60" s="160" t="s">
        <v>0</v>
      </c>
      <c r="C60" s="161"/>
      <c r="D60" s="176"/>
      <c r="E60" s="177"/>
      <c r="F60" s="176"/>
      <c r="H60" s="170" t="s">
        <v>422</v>
      </c>
      <c r="I60" s="178" t="str">
        <f>IF(C60="","",VLOOKUP(C60,'SARO-02'!$A$5:$H$517,7,FALSE))</f>
        <v/>
      </c>
      <c r="J60" s="180"/>
      <c r="L60" s="160" t="s">
        <v>0</v>
      </c>
      <c r="M60" s="161"/>
      <c r="N60" s="176"/>
      <c r="O60" s="177"/>
      <c r="P60" s="176"/>
      <c r="R60" s="170" t="s">
        <v>422</v>
      </c>
      <c r="S60" s="178" t="str">
        <f>IF(M60="","",VLOOKUP(M60,'SARO-02'!$A$5:$H$517,7,FALSE))</f>
        <v/>
      </c>
      <c r="T60" s="180"/>
    </row>
    <row r="61" spans="1:20">
      <c r="A61" s="157"/>
      <c r="B61" s="162" t="s">
        <v>51</v>
      </c>
      <c r="C61" s="267" t="str">
        <f>IF(C60="","",VLOOKUP(C60,'SARO-02'!$A$5:$H$517,8,FALSE))</f>
        <v/>
      </c>
      <c r="D61" s="268"/>
      <c r="E61" s="268"/>
      <c r="F61" s="268"/>
      <c r="G61" s="268"/>
      <c r="H61" s="268"/>
      <c r="I61" s="269"/>
      <c r="J61" s="180"/>
      <c r="L61" s="162" t="s">
        <v>51</v>
      </c>
      <c r="M61" s="267" t="str">
        <f>IF(M60="","",VLOOKUP(M60,'SARO-02'!$A$5:$H$517,8,FALSE))</f>
        <v/>
      </c>
      <c r="N61" s="268"/>
      <c r="O61" s="268"/>
      <c r="P61" s="268"/>
      <c r="Q61" s="268"/>
      <c r="R61" s="268"/>
      <c r="S61" s="269"/>
      <c r="T61" s="180"/>
    </row>
    <row r="62" spans="1:20">
      <c r="A62" s="157"/>
      <c r="J62" s="180"/>
      <c r="T62" s="180"/>
    </row>
    <row r="63" spans="1:20" ht="14.25" customHeight="1">
      <c r="A63" s="157"/>
      <c r="B63" s="273" t="s">
        <v>458</v>
      </c>
      <c r="C63" s="274"/>
      <c r="D63" s="174"/>
      <c r="J63" s="180"/>
      <c r="L63" s="273" t="s">
        <v>458</v>
      </c>
      <c r="M63" s="274"/>
      <c r="N63" s="174"/>
      <c r="T63" s="186"/>
    </row>
    <row r="64" spans="1:20">
      <c r="A64" s="157"/>
      <c r="C64" s="158"/>
      <c r="J64" s="180"/>
      <c r="M64" s="158"/>
      <c r="T64" s="180"/>
    </row>
    <row r="65" spans="1:20">
      <c r="A65" s="157"/>
      <c r="B65" s="263" t="s">
        <v>399</v>
      </c>
      <c r="C65" s="263"/>
      <c r="D65" s="179"/>
      <c r="J65" s="180"/>
      <c r="L65" s="263" t="s">
        <v>399</v>
      </c>
      <c r="M65" s="263"/>
      <c r="N65" s="179"/>
      <c r="T65" s="180"/>
    </row>
    <row r="66" spans="1:20">
      <c r="A66" s="157"/>
      <c r="B66" s="158" t="s">
        <v>456</v>
      </c>
      <c r="C66" s="175"/>
      <c r="F66" s="158" t="s">
        <v>457</v>
      </c>
      <c r="J66" s="180"/>
      <c r="L66" s="158" t="s">
        <v>456</v>
      </c>
      <c r="M66" s="175"/>
      <c r="P66" s="158" t="s">
        <v>457</v>
      </c>
      <c r="T66" s="180"/>
    </row>
    <row r="67" spans="1:20">
      <c r="A67" s="157"/>
      <c r="B67" s="261" t="s">
        <v>427</v>
      </c>
      <c r="C67" s="262"/>
      <c r="D67" s="163"/>
      <c r="E67" s="172"/>
      <c r="F67" s="164" t="s">
        <v>52</v>
      </c>
      <c r="G67" s="264"/>
      <c r="H67" s="265"/>
      <c r="I67" s="266"/>
      <c r="J67" s="180"/>
      <c r="L67" s="261" t="s">
        <v>427</v>
      </c>
      <c r="M67" s="262"/>
      <c r="N67" s="163"/>
      <c r="O67" s="172"/>
      <c r="P67" s="164" t="s">
        <v>52</v>
      </c>
      <c r="Q67" s="264"/>
      <c r="R67" s="265"/>
      <c r="S67" s="266"/>
      <c r="T67" s="180"/>
    </row>
    <row r="68" spans="1:20">
      <c r="A68" s="157"/>
      <c r="B68" s="261" t="s">
        <v>428</v>
      </c>
      <c r="C68" s="262"/>
      <c r="D68" s="165"/>
      <c r="E68" s="173"/>
      <c r="F68" s="164" t="s">
        <v>53</v>
      </c>
      <c r="G68" s="169"/>
      <c r="H68" s="171"/>
      <c r="I68" s="167"/>
      <c r="J68" s="180"/>
      <c r="L68" s="261" t="s">
        <v>428</v>
      </c>
      <c r="M68" s="262"/>
      <c r="N68" s="165"/>
      <c r="O68" s="173"/>
      <c r="P68" s="164" t="s">
        <v>53</v>
      </c>
      <c r="Q68" s="169"/>
      <c r="R68" s="171"/>
      <c r="S68" s="167"/>
      <c r="T68" s="180"/>
    </row>
    <row r="69" spans="1:20">
      <c r="A69" s="157"/>
      <c r="C69" s="158"/>
      <c r="J69" s="180"/>
      <c r="M69" s="158"/>
      <c r="T69" s="180"/>
    </row>
    <row r="70" spans="1:20">
      <c r="A70" s="157"/>
      <c r="B70" s="263" t="s">
        <v>459</v>
      </c>
      <c r="C70" s="263"/>
      <c r="D70" s="179"/>
      <c r="J70" s="180"/>
      <c r="L70" s="263" t="s">
        <v>459</v>
      </c>
      <c r="M70" s="263"/>
      <c r="N70" s="179"/>
      <c r="T70" s="180"/>
    </row>
    <row r="71" spans="1:20">
      <c r="A71" s="157"/>
      <c r="B71" s="158" t="s">
        <v>456</v>
      </c>
      <c r="C71" s="175"/>
      <c r="F71" s="158" t="s">
        <v>457</v>
      </c>
      <c r="J71" s="180"/>
      <c r="L71" s="158" t="s">
        <v>456</v>
      </c>
      <c r="M71" s="175"/>
      <c r="P71" s="158" t="s">
        <v>457</v>
      </c>
      <c r="T71" s="180"/>
    </row>
    <row r="72" spans="1:20">
      <c r="A72" s="157"/>
      <c r="B72" s="261" t="s">
        <v>427</v>
      </c>
      <c r="C72" s="262"/>
      <c r="D72" s="163"/>
      <c r="E72" s="172"/>
      <c r="F72" s="164" t="s">
        <v>52</v>
      </c>
      <c r="G72" s="264"/>
      <c r="H72" s="265"/>
      <c r="I72" s="266"/>
      <c r="J72" s="180"/>
      <c r="L72" s="261" t="s">
        <v>427</v>
      </c>
      <c r="M72" s="262"/>
      <c r="N72" s="163"/>
      <c r="O72" s="172"/>
      <c r="P72" s="164" t="s">
        <v>52</v>
      </c>
      <c r="Q72" s="264"/>
      <c r="R72" s="265"/>
      <c r="S72" s="266"/>
      <c r="T72" s="180"/>
    </row>
    <row r="73" spans="1:20">
      <c r="A73" s="157"/>
      <c r="B73" s="261" t="s">
        <v>428</v>
      </c>
      <c r="C73" s="262"/>
      <c r="D73" s="165"/>
      <c r="E73" s="173"/>
      <c r="F73" s="164" t="s">
        <v>53</v>
      </c>
      <c r="G73" s="169"/>
      <c r="H73" s="171"/>
      <c r="I73" s="167"/>
      <c r="J73" s="180"/>
      <c r="L73" s="261" t="s">
        <v>428</v>
      </c>
      <c r="M73" s="262"/>
      <c r="N73" s="165"/>
      <c r="O73" s="173"/>
      <c r="P73" s="164" t="s">
        <v>53</v>
      </c>
      <c r="Q73" s="169"/>
      <c r="R73" s="171"/>
      <c r="S73" s="167"/>
      <c r="T73" s="180"/>
    </row>
    <row r="74" spans="1:20">
      <c r="A74" s="157"/>
      <c r="B74" s="261" t="s">
        <v>428</v>
      </c>
      <c r="C74" s="262"/>
      <c r="D74" s="165"/>
      <c r="E74" s="173"/>
      <c r="F74" s="164" t="s">
        <v>54</v>
      </c>
      <c r="G74" s="169"/>
      <c r="H74" s="171"/>
      <c r="I74" s="167"/>
      <c r="J74" s="180"/>
      <c r="L74" s="261" t="s">
        <v>428</v>
      </c>
      <c r="M74" s="262"/>
      <c r="N74" s="165"/>
      <c r="O74" s="173"/>
      <c r="P74" s="164" t="s">
        <v>54</v>
      </c>
      <c r="Q74" s="169"/>
      <c r="R74" s="171"/>
      <c r="S74" s="167"/>
      <c r="T74" s="180"/>
    </row>
    <row r="75" spans="1:20">
      <c r="A75" s="157"/>
      <c r="B75" s="261" t="s">
        <v>428</v>
      </c>
      <c r="C75" s="262"/>
      <c r="D75" s="166"/>
      <c r="E75" s="157"/>
      <c r="F75" s="164" t="s">
        <v>55</v>
      </c>
      <c r="G75" s="270"/>
      <c r="H75" s="271"/>
      <c r="I75" s="272"/>
      <c r="J75" s="180"/>
      <c r="L75" s="261" t="s">
        <v>428</v>
      </c>
      <c r="M75" s="262"/>
      <c r="N75" s="166"/>
      <c r="O75" s="157"/>
      <c r="P75" s="164" t="s">
        <v>55</v>
      </c>
      <c r="Q75" s="270"/>
      <c r="R75" s="271"/>
      <c r="S75" s="272"/>
      <c r="T75" s="180"/>
    </row>
    <row r="76" spans="1:20">
      <c r="A76" s="168"/>
      <c r="B76" s="168"/>
      <c r="C76" s="168"/>
      <c r="D76" s="168"/>
      <c r="E76" s="168"/>
      <c r="F76" s="168"/>
      <c r="G76" s="168"/>
      <c r="H76" s="168"/>
      <c r="I76" s="168"/>
      <c r="J76" s="181"/>
      <c r="K76" s="168"/>
      <c r="L76" s="168"/>
      <c r="M76" s="168"/>
      <c r="N76" s="168"/>
      <c r="O76" s="168"/>
      <c r="P76" s="168"/>
      <c r="Q76" s="168"/>
      <c r="R76" s="168"/>
      <c r="S76" s="168"/>
      <c r="T76" s="180"/>
    </row>
  </sheetData>
  <mergeCells count="105">
    <mergeCell ref="L74:M74"/>
    <mergeCell ref="L75:M75"/>
    <mergeCell ref="Q75:S75"/>
    <mergeCell ref="B2:S2"/>
    <mergeCell ref="L68:M68"/>
    <mergeCell ref="L70:M70"/>
    <mergeCell ref="L72:M72"/>
    <mergeCell ref="Q72:S72"/>
    <mergeCell ref="L73:M73"/>
    <mergeCell ref="M61:S61"/>
    <mergeCell ref="L63:M63"/>
    <mergeCell ref="L65:M65"/>
    <mergeCell ref="L67:M67"/>
    <mergeCell ref="Q67:S67"/>
    <mergeCell ref="L54:M54"/>
    <mergeCell ref="Q54:S54"/>
    <mergeCell ref="L55:M55"/>
    <mergeCell ref="L56:M56"/>
    <mergeCell ref="L57:M57"/>
    <mergeCell ref="Q57:S57"/>
    <mergeCell ref="L47:M47"/>
    <mergeCell ref="L49:M49"/>
    <mergeCell ref="Q49:S49"/>
    <mergeCell ref="L50:M50"/>
    <mergeCell ref="L52:M52"/>
    <mergeCell ref="L38:M38"/>
    <mergeCell ref="L39:M39"/>
    <mergeCell ref="Q39:S39"/>
    <mergeCell ref="M43:S43"/>
    <mergeCell ref="L45:M45"/>
    <mergeCell ref="L32:M32"/>
    <mergeCell ref="L34:M34"/>
    <mergeCell ref="L36:M36"/>
    <mergeCell ref="Q36:S36"/>
    <mergeCell ref="L37:M37"/>
    <mergeCell ref="M25:S25"/>
    <mergeCell ref="L27:M27"/>
    <mergeCell ref="L29:M29"/>
    <mergeCell ref="L31:M31"/>
    <mergeCell ref="Q31:S31"/>
    <mergeCell ref="B74:C74"/>
    <mergeCell ref="B75:C75"/>
    <mergeCell ref="G75:I75"/>
    <mergeCell ref="M7:S7"/>
    <mergeCell ref="L9:M9"/>
    <mergeCell ref="L11:M11"/>
    <mergeCell ref="L13:M13"/>
    <mergeCell ref="Q13:S13"/>
    <mergeCell ref="L14:M14"/>
    <mergeCell ref="L16:M16"/>
    <mergeCell ref="L18:M18"/>
    <mergeCell ref="Q18:S18"/>
    <mergeCell ref="L19:M19"/>
    <mergeCell ref="L20:M20"/>
    <mergeCell ref="L21:M21"/>
    <mergeCell ref="Q21:S21"/>
    <mergeCell ref="B68:C68"/>
    <mergeCell ref="B70:C70"/>
    <mergeCell ref="B72:C72"/>
    <mergeCell ref="G72:I72"/>
    <mergeCell ref="B73:C73"/>
    <mergeCell ref="C61:I61"/>
    <mergeCell ref="B63:C63"/>
    <mergeCell ref="B65:C65"/>
    <mergeCell ref="B67:C67"/>
    <mergeCell ref="G67:I67"/>
    <mergeCell ref="B37:C37"/>
    <mergeCell ref="B38:C38"/>
    <mergeCell ref="B39:C39"/>
    <mergeCell ref="G39:I39"/>
    <mergeCell ref="C43:I43"/>
    <mergeCell ref="B47:C47"/>
    <mergeCell ref="B45:C45"/>
    <mergeCell ref="B49:C49"/>
    <mergeCell ref="G49:I49"/>
    <mergeCell ref="B50:C50"/>
    <mergeCell ref="B52:C52"/>
    <mergeCell ref="B54:C54"/>
    <mergeCell ref="G54:I54"/>
    <mergeCell ref="B55:C55"/>
    <mergeCell ref="B56:C56"/>
    <mergeCell ref="B57:C57"/>
    <mergeCell ref="G57:I57"/>
    <mergeCell ref="B32:C32"/>
    <mergeCell ref="B34:C34"/>
    <mergeCell ref="B36:C36"/>
    <mergeCell ref="G36:I36"/>
    <mergeCell ref="C7:I7"/>
    <mergeCell ref="B18:C18"/>
    <mergeCell ref="B20:C20"/>
    <mergeCell ref="G21:I21"/>
    <mergeCell ref="B19:C19"/>
    <mergeCell ref="G18:I18"/>
    <mergeCell ref="B21:C21"/>
    <mergeCell ref="B9:C9"/>
    <mergeCell ref="B16:C16"/>
    <mergeCell ref="B11:C11"/>
    <mergeCell ref="B13:C13"/>
    <mergeCell ref="G13:I13"/>
    <mergeCell ref="B14:C14"/>
    <mergeCell ref="C25:I25"/>
    <mergeCell ref="B27:C27"/>
    <mergeCell ref="B29:C29"/>
    <mergeCell ref="B31:C31"/>
    <mergeCell ref="G31:I3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153"/>
  <sheetViews>
    <sheetView showGridLines="0" workbookViewId="0">
      <selection activeCell="L3" sqref="L3"/>
    </sheetView>
  </sheetViews>
  <sheetFormatPr baseColWidth="10" defaultColWidth="11.44140625" defaultRowHeight="10.199999999999999"/>
  <cols>
    <col min="1" max="1" width="4.5546875" style="1" customWidth="1"/>
    <col min="2" max="2" width="16.5546875" style="1" customWidth="1"/>
    <col min="3" max="12" width="12.88671875" style="1" customWidth="1"/>
    <col min="13" max="16384" width="11.44140625" style="1"/>
  </cols>
  <sheetData>
    <row r="2" spans="1:12" ht="21.75" customHeight="1">
      <c r="B2" s="216" t="s">
        <v>0</v>
      </c>
      <c r="C2" s="217"/>
      <c r="G2" s="216" t="s">
        <v>489</v>
      </c>
      <c r="H2" s="276" t="s">
        <v>510</v>
      </c>
      <c r="I2" s="277"/>
      <c r="J2" s="278"/>
    </row>
    <row r="3" spans="1:12" ht="34.5" customHeight="1">
      <c r="B3" s="218" t="s">
        <v>51</v>
      </c>
      <c r="C3" s="279" t="s">
        <v>510</v>
      </c>
      <c r="D3" s="279"/>
      <c r="E3" s="279"/>
      <c r="F3" s="279"/>
      <c r="G3" s="279"/>
      <c r="H3" s="279"/>
      <c r="I3" s="279"/>
      <c r="J3" s="280"/>
      <c r="K3" s="219"/>
      <c r="L3" s="219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220"/>
      <c r="B5" s="281" t="s">
        <v>490</v>
      </c>
      <c r="C5" s="283">
        <v>2014</v>
      </c>
      <c r="D5" s="284"/>
      <c r="E5" s="283">
        <v>2015</v>
      </c>
      <c r="F5" s="284"/>
      <c r="G5" s="283">
        <v>2016</v>
      </c>
      <c r="H5" s="284"/>
      <c r="I5" s="283">
        <v>2017</v>
      </c>
      <c r="J5" s="284"/>
      <c r="K5" s="285" t="s">
        <v>491</v>
      </c>
      <c r="L5" s="286"/>
    </row>
    <row r="6" spans="1:12" ht="20.399999999999999">
      <c r="A6" s="220"/>
      <c r="B6" s="282"/>
      <c r="C6" s="221" t="s">
        <v>492</v>
      </c>
      <c r="D6" s="221" t="s">
        <v>493</v>
      </c>
      <c r="E6" s="221" t="s">
        <v>492</v>
      </c>
      <c r="F6" s="221" t="s">
        <v>493</v>
      </c>
      <c r="G6" s="221" t="s">
        <v>492</v>
      </c>
      <c r="H6" s="221" t="s">
        <v>493</v>
      </c>
      <c r="I6" s="221" t="s">
        <v>492</v>
      </c>
      <c r="J6" s="221" t="s">
        <v>493</v>
      </c>
      <c r="K6" s="221" t="s">
        <v>494</v>
      </c>
      <c r="L6" s="221" t="s">
        <v>495</v>
      </c>
    </row>
    <row r="7" spans="1:12">
      <c r="A7" s="3"/>
      <c r="B7" s="222" t="s">
        <v>496</v>
      </c>
      <c r="C7" s="223"/>
      <c r="D7" s="223"/>
      <c r="E7" s="223"/>
      <c r="F7" s="223"/>
      <c r="G7" s="223"/>
      <c r="H7" s="223"/>
      <c r="I7" s="223"/>
      <c r="J7" s="223"/>
      <c r="K7" s="223">
        <f>SUM(C7,E7,G7,I7)</f>
        <v>0</v>
      </c>
      <c r="L7" s="223">
        <f>SUM(D7,F7,H7,J7)</f>
        <v>0</v>
      </c>
    </row>
    <row r="8" spans="1:12">
      <c r="A8" s="3"/>
      <c r="B8" s="222" t="s">
        <v>497</v>
      </c>
      <c r="C8" s="223"/>
      <c r="D8" s="223"/>
      <c r="E8" s="223"/>
      <c r="F8" s="223"/>
      <c r="G8" s="223"/>
      <c r="H8" s="223"/>
      <c r="I8" s="223"/>
      <c r="J8" s="223"/>
      <c r="K8" s="223">
        <f t="shared" ref="K8:L18" si="0">SUM(C8,E8,G8,I8)</f>
        <v>0</v>
      </c>
      <c r="L8" s="223">
        <f t="shared" si="0"/>
        <v>0</v>
      </c>
    </row>
    <row r="9" spans="1:12">
      <c r="A9" s="3"/>
      <c r="B9" s="222" t="s">
        <v>498</v>
      </c>
      <c r="C9" s="223"/>
      <c r="D9" s="223"/>
      <c r="E9" s="223"/>
      <c r="F9" s="223"/>
      <c r="G9" s="223"/>
      <c r="H9" s="223"/>
      <c r="I9" s="223"/>
      <c r="J9" s="223"/>
      <c r="K9" s="223">
        <f t="shared" si="0"/>
        <v>0</v>
      </c>
      <c r="L9" s="223">
        <f t="shared" si="0"/>
        <v>0</v>
      </c>
    </row>
    <row r="10" spans="1:12">
      <c r="A10" s="3"/>
      <c r="B10" s="222" t="s">
        <v>499</v>
      </c>
      <c r="C10" s="223"/>
      <c r="D10" s="223"/>
      <c r="E10" s="223"/>
      <c r="F10" s="223"/>
      <c r="G10" s="223"/>
      <c r="H10" s="223"/>
      <c r="I10" s="223"/>
      <c r="J10" s="223"/>
      <c r="K10" s="223">
        <f t="shared" si="0"/>
        <v>0</v>
      </c>
      <c r="L10" s="223">
        <f t="shared" si="0"/>
        <v>0</v>
      </c>
    </row>
    <row r="11" spans="1:12">
      <c r="A11" s="3"/>
      <c r="B11" s="222" t="s">
        <v>500</v>
      </c>
      <c r="C11" s="223"/>
      <c r="D11" s="223"/>
      <c r="E11" s="223"/>
      <c r="F11" s="223"/>
      <c r="G11" s="223"/>
      <c r="H11" s="223"/>
      <c r="I11" s="223"/>
      <c r="J11" s="223"/>
      <c r="K11" s="223">
        <f t="shared" si="0"/>
        <v>0</v>
      </c>
      <c r="L11" s="223">
        <f t="shared" si="0"/>
        <v>0</v>
      </c>
    </row>
    <row r="12" spans="1:12">
      <c r="A12" s="3"/>
      <c r="B12" s="222" t="s">
        <v>501</v>
      </c>
      <c r="C12" s="223"/>
      <c r="D12" s="223"/>
      <c r="E12" s="223"/>
      <c r="F12" s="223"/>
      <c r="G12" s="223"/>
      <c r="H12" s="223"/>
      <c r="I12" s="223"/>
      <c r="J12" s="223"/>
      <c r="K12" s="223">
        <f t="shared" si="0"/>
        <v>0</v>
      </c>
      <c r="L12" s="223">
        <f t="shared" si="0"/>
        <v>0</v>
      </c>
    </row>
    <row r="13" spans="1:12">
      <c r="A13" s="3"/>
      <c r="B13" s="222" t="s">
        <v>502</v>
      </c>
      <c r="C13" s="223"/>
      <c r="D13" s="223"/>
      <c r="E13" s="223"/>
      <c r="F13" s="223"/>
      <c r="G13" s="223"/>
      <c r="H13" s="223"/>
      <c r="I13" s="223"/>
      <c r="J13" s="223"/>
      <c r="K13" s="223">
        <f t="shared" si="0"/>
        <v>0</v>
      </c>
      <c r="L13" s="223">
        <f t="shared" si="0"/>
        <v>0</v>
      </c>
    </row>
    <row r="14" spans="1:12">
      <c r="A14" s="3"/>
      <c r="B14" s="222" t="s">
        <v>503</v>
      </c>
      <c r="C14" s="223"/>
      <c r="D14" s="223"/>
      <c r="E14" s="223"/>
      <c r="F14" s="223"/>
      <c r="G14" s="223"/>
      <c r="H14" s="223"/>
      <c r="I14" s="223"/>
      <c r="J14" s="223"/>
      <c r="K14" s="223">
        <f t="shared" si="0"/>
        <v>0</v>
      </c>
      <c r="L14" s="223">
        <f t="shared" si="0"/>
        <v>0</v>
      </c>
    </row>
    <row r="15" spans="1:12">
      <c r="A15" s="3"/>
      <c r="B15" s="222" t="s">
        <v>504</v>
      </c>
      <c r="C15" s="223"/>
      <c r="D15" s="223"/>
      <c r="E15" s="223"/>
      <c r="F15" s="223"/>
      <c r="G15" s="223"/>
      <c r="H15" s="223"/>
      <c r="I15" s="223"/>
      <c r="J15" s="223"/>
      <c r="K15" s="223">
        <f t="shared" si="0"/>
        <v>0</v>
      </c>
      <c r="L15" s="223">
        <f t="shared" si="0"/>
        <v>0</v>
      </c>
    </row>
    <row r="16" spans="1:12">
      <c r="A16" s="3"/>
      <c r="B16" s="222" t="s">
        <v>505</v>
      </c>
      <c r="C16" s="223"/>
      <c r="D16" s="223"/>
      <c r="E16" s="223"/>
      <c r="F16" s="223"/>
      <c r="G16" s="223"/>
      <c r="H16" s="223"/>
      <c r="I16" s="223"/>
      <c r="J16" s="223"/>
      <c r="K16" s="223">
        <f t="shared" si="0"/>
        <v>0</v>
      </c>
      <c r="L16" s="223">
        <f t="shared" si="0"/>
        <v>0</v>
      </c>
    </row>
    <row r="17" spans="1:12">
      <c r="A17" s="3"/>
      <c r="B17" s="222" t="s">
        <v>506</v>
      </c>
      <c r="C17" s="223"/>
      <c r="D17" s="223"/>
      <c r="E17" s="223"/>
      <c r="F17" s="223"/>
      <c r="G17" s="223"/>
      <c r="H17" s="223"/>
      <c r="I17" s="223"/>
      <c r="J17" s="223"/>
      <c r="K17" s="223">
        <f t="shared" si="0"/>
        <v>0</v>
      </c>
      <c r="L17" s="223">
        <f t="shared" si="0"/>
        <v>0</v>
      </c>
    </row>
    <row r="18" spans="1:12">
      <c r="A18" s="3"/>
      <c r="B18" s="222" t="s">
        <v>507</v>
      </c>
      <c r="C18" s="223"/>
      <c r="D18" s="223"/>
      <c r="E18" s="223"/>
      <c r="F18" s="223"/>
      <c r="G18" s="223"/>
      <c r="H18" s="223"/>
      <c r="I18" s="223"/>
      <c r="J18" s="223"/>
      <c r="K18" s="223">
        <f t="shared" si="0"/>
        <v>0</v>
      </c>
      <c r="L18" s="223">
        <f t="shared" si="0"/>
        <v>0</v>
      </c>
    </row>
    <row r="19" spans="1:12">
      <c r="A19" s="3"/>
      <c r="B19" s="224" t="s">
        <v>491</v>
      </c>
      <c r="C19" s="224">
        <f t="shared" ref="C19:L19" si="1">SUM(C7:C18)</f>
        <v>0</v>
      </c>
      <c r="D19" s="224">
        <f t="shared" si="1"/>
        <v>0</v>
      </c>
      <c r="E19" s="224">
        <f t="shared" si="1"/>
        <v>0</v>
      </c>
      <c r="F19" s="224">
        <f t="shared" si="1"/>
        <v>0</v>
      </c>
      <c r="G19" s="224">
        <f t="shared" si="1"/>
        <v>0</v>
      </c>
      <c r="H19" s="224">
        <f t="shared" si="1"/>
        <v>0</v>
      </c>
      <c r="I19" s="224">
        <f t="shared" si="1"/>
        <v>0</v>
      </c>
      <c r="J19" s="224">
        <f t="shared" si="1"/>
        <v>0</v>
      </c>
      <c r="K19" s="224">
        <f t="shared" si="1"/>
        <v>0</v>
      </c>
      <c r="L19" s="224">
        <f t="shared" si="1"/>
        <v>0</v>
      </c>
    </row>
    <row r="20" spans="1:12">
      <c r="A20" s="3"/>
      <c r="B20" s="287"/>
      <c r="C20" s="287"/>
      <c r="D20" s="287"/>
      <c r="E20" s="287"/>
      <c r="F20" s="287"/>
      <c r="G20" s="287"/>
      <c r="H20" s="287"/>
      <c r="I20" s="287"/>
      <c r="J20" s="287"/>
      <c r="K20" s="3"/>
      <c r="L20" s="3"/>
    </row>
    <row r="21" spans="1:12">
      <c r="A21" s="3"/>
      <c r="B21" s="287"/>
      <c r="C21" s="287"/>
      <c r="D21" s="287"/>
      <c r="E21" s="287"/>
      <c r="F21" s="287"/>
      <c r="G21" s="287"/>
      <c r="H21" s="287"/>
      <c r="I21" s="287"/>
      <c r="J21" s="287"/>
      <c r="K21" s="3"/>
      <c r="L21" s="3"/>
    </row>
    <row r="24" spans="1:12" ht="20.25" customHeight="1">
      <c r="B24" s="216" t="s">
        <v>0</v>
      </c>
      <c r="C24" s="217"/>
      <c r="G24" s="216" t="s">
        <v>489</v>
      </c>
      <c r="H24" s="288" t="s">
        <v>510</v>
      </c>
      <c r="I24" s="289"/>
      <c r="J24" s="290"/>
    </row>
    <row r="25" spans="1:12" ht="33.75" customHeight="1">
      <c r="B25" s="218" t="s">
        <v>51</v>
      </c>
      <c r="C25" s="279" t="s">
        <v>510</v>
      </c>
      <c r="D25" s="279"/>
      <c r="E25" s="279"/>
      <c r="F25" s="279"/>
      <c r="G25" s="279"/>
      <c r="H25" s="279"/>
      <c r="I25" s="279"/>
      <c r="J25" s="280"/>
      <c r="K25" s="219"/>
      <c r="L25" s="219"/>
    </row>
    <row r="26" spans="1:1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B27" s="281" t="s">
        <v>490</v>
      </c>
      <c r="C27" s="283">
        <v>2014</v>
      </c>
      <c r="D27" s="284"/>
      <c r="E27" s="283">
        <v>2015</v>
      </c>
      <c r="F27" s="284"/>
      <c r="G27" s="283">
        <v>2016</v>
      </c>
      <c r="H27" s="284"/>
      <c r="I27" s="283">
        <v>2017</v>
      </c>
      <c r="J27" s="284"/>
      <c r="K27" s="285" t="s">
        <v>491</v>
      </c>
      <c r="L27" s="286"/>
    </row>
    <row r="28" spans="1:12" ht="20.399999999999999">
      <c r="B28" s="282"/>
      <c r="C28" s="221" t="s">
        <v>492</v>
      </c>
      <c r="D28" s="221" t="s">
        <v>493</v>
      </c>
      <c r="E28" s="221" t="s">
        <v>492</v>
      </c>
      <c r="F28" s="221" t="s">
        <v>493</v>
      </c>
      <c r="G28" s="221" t="s">
        <v>492</v>
      </c>
      <c r="H28" s="221" t="s">
        <v>493</v>
      </c>
      <c r="I28" s="221" t="s">
        <v>492</v>
      </c>
      <c r="J28" s="221" t="s">
        <v>493</v>
      </c>
      <c r="K28" s="221" t="s">
        <v>494</v>
      </c>
      <c r="L28" s="221" t="s">
        <v>495</v>
      </c>
    </row>
    <row r="29" spans="1:12">
      <c r="B29" s="222" t="s">
        <v>496</v>
      </c>
      <c r="C29" s="223"/>
      <c r="D29" s="223"/>
      <c r="E29" s="223"/>
      <c r="F29" s="223"/>
      <c r="G29" s="223"/>
      <c r="H29" s="223"/>
      <c r="I29" s="223"/>
      <c r="J29" s="223"/>
      <c r="K29" s="223">
        <f>SUM(C29,E29,G29,I29)</f>
        <v>0</v>
      </c>
      <c r="L29" s="223">
        <f>SUM(D29,F29,H29,J29)</f>
        <v>0</v>
      </c>
    </row>
    <row r="30" spans="1:12">
      <c r="B30" s="222" t="s">
        <v>497</v>
      </c>
      <c r="C30" s="223"/>
      <c r="D30" s="223"/>
      <c r="E30" s="223"/>
      <c r="F30" s="223"/>
      <c r="G30" s="223"/>
      <c r="H30" s="223"/>
      <c r="I30" s="223"/>
      <c r="J30" s="223"/>
      <c r="K30" s="223">
        <f t="shared" ref="K30:L40" si="2">SUM(C30,E30,G30,I30)</f>
        <v>0</v>
      </c>
      <c r="L30" s="223">
        <f t="shared" si="2"/>
        <v>0</v>
      </c>
    </row>
    <row r="31" spans="1:12">
      <c r="B31" s="222" t="s">
        <v>498</v>
      </c>
      <c r="C31" s="223"/>
      <c r="D31" s="223"/>
      <c r="E31" s="223"/>
      <c r="F31" s="223"/>
      <c r="G31" s="223"/>
      <c r="H31" s="223"/>
      <c r="I31" s="223"/>
      <c r="J31" s="223"/>
      <c r="K31" s="223">
        <f t="shared" si="2"/>
        <v>0</v>
      </c>
      <c r="L31" s="223">
        <f t="shared" si="2"/>
        <v>0</v>
      </c>
    </row>
    <row r="32" spans="1:12">
      <c r="B32" s="222" t="s">
        <v>499</v>
      </c>
      <c r="C32" s="223"/>
      <c r="D32" s="223"/>
      <c r="E32" s="223"/>
      <c r="F32" s="223"/>
      <c r="G32" s="223"/>
      <c r="H32" s="223"/>
      <c r="I32" s="223"/>
      <c r="J32" s="223"/>
      <c r="K32" s="223">
        <f t="shared" si="2"/>
        <v>0</v>
      </c>
      <c r="L32" s="223">
        <f t="shared" si="2"/>
        <v>0</v>
      </c>
    </row>
    <row r="33" spans="2:12">
      <c r="B33" s="222" t="s">
        <v>500</v>
      </c>
      <c r="C33" s="223"/>
      <c r="D33" s="223"/>
      <c r="E33" s="223"/>
      <c r="F33" s="223"/>
      <c r="G33" s="223"/>
      <c r="H33" s="223"/>
      <c r="I33" s="223"/>
      <c r="J33" s="223"/>
      <c r="K33" s="223">
        <f t="shared" si="2"/>
        <v>0</v>
      </c>
      <c r="L33" s="223">
        <f t="shared" si="2"/>
        <v>0</v>
      </c>
    </row>
    <row r="34" spans="2:12">
      <c r="B34" s="222" t="s">
        <v>501</v>
      </c>
      <c r="C34" s="223"/>
      <c r="D34" s="223"/>
      <c r="E34" s="223"/>
      <c r="F34" s="223"/>
      <c r="G34" s="223"/>
      <c r="H34" s="223"/>
      <c r="I34" s="223"/>
      <c r="J34" s="223"/>
      <c r="K34" s="223">
        <f t="shared" si="2"/>
        <v>0</v>
      </c>
      <c r="L34" s="223">
        <f t="shared" si="2"/>
        <v>0</v>
      </c>
    </row>
    <row r="35" spans="2:12">
      <c r="B35" s="222" t="s">
        <v>502</v>
      </c>
      <c r="C35" s="223"/>
      <c r="D35" s="223"/>
      <c r="E35" s="223"/>
      <c r="F35" s="223"/>
      <c r="G35" s="223"/>
      <c r="H35" s="223"/>
      <c r="I35" s="223"/>
      <c r="J35" s="223"/>
      <c r="K35" s="223">
        <f t="shared" si="2"/>
        <v>0</v>
      </c>
      <c r="L35" s="223">
        <f t="shared" si="2"/>
        <v>0</v>
      </c>
    </row>
    <row r="36" spans="2:12">
      <c r="B36" s="222" t="s">
        <v>503</v>
      </c>
      <c r="C36" s="223"/>
      <c r="D36" s="223"/>
      <c r="E36" s="223"/>
      <c r="F36" s="223"/>
      <c r="G36" s="223"/>
      <c r="H36" s="223"/>
      <c r="I36" s="223"/>
      <c r="J36" s="223"/>
      <c r="K36" s="223">
        <f t="shared" si="2"/>
        <v>0</v>
      </c>
      <c r="L36" s="223">
        <f t="shared" si="2"/>
        <v>0</v>
      </c>
    </row>
    <row r="37" spans="2:12">
      <c r="B37" s="222" t="s">
        <v>504</v>
      </c>
      <c r="C37" s="223"/>
      <c r="D37" s="223"/>
      <c r="E37" s="223"/>
      <c r="F37" s="223"/>
      <c r="G37" s="223"/>
      <c r="H37" s="223"/>
      <c r="I37" s="223"/>
      <c r="J37" s="223"/>
      <c r="K37" s="223">
        <f t="shared" si="2"/>
        <v>0</v>
      </c>
      <c r="L37" s="223">
        <f t="shared" si="2"/>
        <v>0</v>
      </c>
    </row>
    <row r="38" spans="2:12">
      <c r="B38" s="222" t="s">
        <v>505</v>
      </c>
      <c r="C38" s="223"/>
      <c r="D38" s="223"/>
      <c r="E38" s="223"/>
      <c r="F38" s="223"/>
      <c r="G38" s="223"/>
      <c r="H38" s="223"/>
      <c r="I38" s="223"/>
      <c r="J38" s="223"/>
      <c r="K38" s="223">
        <f t="shared" si="2"/>
        <v>0</v>
      </c>
      <c r="L38" s="223">
        <f t="shared" si="2"/>
        <v>0</v>
      </c>
    </row>
    <row r="39" spans="2:12">
      <c r="B39" s="222" t="s">
        <v>506</v>
      </c>
      <c r="C39" s="223"/>
      <c r="D39" s="223"/>
      <c r="E39" s="223"/>
      <c r="F39" s="223"/>
      <c r="G39" s="223"/>
      <c r="H39" s="223"/>
      <c r="I39" s="223"/>
      <c r="J39" s="223"/>
      <c r="K39" s="223">
        <f t="shared" si="2"/>
        <v>0</v>
      </c>
      <c r="L39" s="223">
        <f t="shared" si="2"/>
        <v>0</v>
      </c>
    </row>
    <row r="40" spans="2:12">
      <c r="B40" s="222" t="s">
        <v>507</v>
      </c>
      <c r="C40" s="223"/>
      <c r="D40" s="223"/>
      <c r="E40" s="223"/>
      <c r="F40" s="223"/>
      <c r="G40" s="223"/>
      <c r="H40" s="223"/>
      <c r="I40" s="223"/>
      <c r="J40" s="223"/>
      <c r="K40" s="223">
        <f t="shared" si="2"/>
        <v>0</v>
      </c>
      <c r="L40" s="223">
        <f t="shared" si="2"/>
        <v>0</v>
      </c>
    </row>
    <row r="41" spans="2:12">
      <c r="B41" s="224" t="s">
        <v>491</v>
      </c>
      <c r="C41" s="224">
        <f t="shared" ref="C41:L41" si="3">SUM(C29:C40)</f>
        <v>0</v>
      </c>
      <c r="D41" s="224">
        <f t="shared" si="3"/>
        <v>0</v>
      </c>
      <c r="E41" s="224">
        <f t="shared" si="3"/>
        <v>0</v>
      </c>
      <c r="F41" s="224">
        <f t="shared" si="3"/>
        <v>0</v>
      </c>
      <c r="G41" s="224">
        <f t="shared" si="3"/>
        <v>0</v>
      </c>
      <c r="H41" s="224">
        <f t="shared" si="3"/>
        <v>0</v>
      </c>
      <c r="I41" s="224">
        <f t="shared" si="3"/>
        <v>0</v>
      </c>
      <c r="J41" s="224">
        <f t="shared" si="3"/>
        <v>0</v>
      </c>
      <c r="K41" s="224">
        <f t="shared" si="3"/>
        <v>0</v>
      </c>
      <c r="L41" s="224">
        <f t="shared" si="3"/>
        <v>0</v>
      </c>
    </row>
    <row r="42" spans="2:12">
      <c r="B42" s="287"/>
      <c r="C42" s="287"/>
      <c r="D42" s="287"/>
      <c r="E42" s="287"/>
      <c r="F42" s="287"/>
      <c r="G42" s="287"/>
      <c r="H42" s="287"/>
      <c r="I42" s="287"/>
      <c r="J42" s="287"/>
      <c r="K42" s="3"/>
      <c r="L42" s="3"/>
    </row>
    <row r="43" spans="2:12">
      <c r="B43" s="287"/>
      <c r="C43" s="287"/>
      <c r="D43" s="287"/>
      <c r="E43" s="287"/>
      <c r="F43" s="287"/>
      <c r="G43" s="287"/>
      <c r="H43" s="287"/>
      <c r="I43" s="287"/>
      <c r="J43" s="287"/>
      <c r="K43" s="3"/>
      <c r="L43" s="3"/>
    </row>
    <row r="44" spans="2:12">
      <c r="B44" s="225"/>
      <c r="C44" s="225"/>
      <c r="D44" s="225"/>
      <c r="E44" s="225"/>
      <c r="F44" s="225"/>
      <c r="G44" s="225"/>
      <c r="H44" s="225"/>
      <c r="I44" s="225"/>
      <c r="J44" s="225"/>
      <c r="K44" s="3"/>
      <c r="L44" s="3"/>
    </row>
    <row r="45" spans="2:12">
      <c r="B45" s="225"/>
      <c r="C45" s="225"/>
      <c r="D45" s="225"/>
      <c r="E45" s="225"/>
      <c r="F45" s="225"/>
      <c r="G45" s="225"/>
      <c r="H45" s="225"/>
      <c r="I45" s="225"/>
      <c r="J45" s="225"/>
      <c r="K45" s="3"/>
      <c r="L45" s="3"/>
    </row>
    <row r="47" spans="2:12">
      <c r="B47" s="216" t="s">
        <v>0</v>
      </c>
      <c r="C47" s="226"/>
      <c r="G47" s="216" t="s">
        <v>489</v>
      </c>
      <c r="H47" s="288" t="s">
        <v>510</v>
      </c>
      <c r="I47" s="289"/>
      <c r="J47" s="290"/>
    </row>
    <row r="48" spans="2:12" ht="29.25" customHeight="1">
      <c r="B48" s="218" t="s">
        <v>51</v>
      </c>
      <c r="C48" s="279" t="s">
        <v>510</v>
      </c>
      <c r="D48" s="279"/>
      <c r="E48" s="279"/>
      <c r="F48" s="279"/>
      <c r="G48" s="279"/>
      <c r="H48" s="279"/>
      <c r="I48" s="279"/>
      <c r="J48" s="280"/>
      <c r="K48" s="219"/>
      <c r="L48" s="219"/>
    </row>
    <row r="49" spans="2:1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>
      <c r="B50" s="281" t="s">
        <v>490</v>
      </c>
      <c r="C50" s="283">
        <v>2014</v>
      </c>
      <c r="D50" s="284"/>
      <c r="E50" s="283">
        <v>2015</v>
      </c>
      <c r="F50" s="284"/>
      <c r="G50" s="283">
        <v>2016</v>
      </c>
      <c r="H50" s="284"/>
      <c r="I50" s="283">
        <v>2017</v>
      </c>
      <c r="J50" s="284"/>
      <c r="K50" s="285" t="s">
        <v>491</v>
      </c>
      <c r="L50" s="286"/>
    </row>
    <row r="51" spans="2:12" ht="20.399999999999999">
      <c r="B51" s="282"/>
      <c r="C51" s="221" t="s">
        <v>492</v>
      </c>
      <c r="D51" s="221" t="s">
        <v>493</v>
      </c>
      <c r="E51" s="221" t="s">
        <v>492</v>
      </c>
      <c r="F51" s="221" t="s">
        <v>493</v>
      </c>
      <c r="G51" s="221" t="s">
        <v>492</v>
      </c>
      <c r="H51" s="221" t="s">
        <v>493</v>
      </c>
      <c r="I51" s="221" t="s">
        <v>492</v>
      </c>
      <c r="J51" s="221" t="s">
        <v>493</v>
      </c>
      <c r="K51" s="221" t="s">
        <v>494</v>
      </c>
      <c r="L51" s="221" t="s">
        <v>495</v>
      </c>
    </row>
    <row r="52" spans="2:12">
      <c r="B52" s="222" t="s">
        <v>496</v>
      </c>
      <c r="C52" s="223"/>
      <c r="D52" s="223"/>
      <c r="E52" s="223"/>
      <c r="F52" s="223"/>
      <c r="G52" s="223"/>
      <c r="H52" s="223"/>
      <c r="I52" s="223"/>
      <c r="J52" s="223"/>
      <c r="K52" s="223">
        <f>SUM(C52,E52,G52,I52)</f>
        <v>0</v>
      </c>
      <c r="L52" s="223">
        <f>SUM(D52,F52,H52,J52)</f>
        <v>0</v>
      </c>
    </row>
    <row r="53" spans="2:12">
      <c r="B53" s="222" t="s">
        <v>497</v>
      </c>
      <c r="C53" s="223"/>
      <c r="D53" s="223"/>
      <c r="E53" s="223"/>
      <c r="F53" s="223"/>
      <c r="G53" s="223"/>
      <c r="H53" s="223"/>
      <c r="I53" s="223"/>
      <c r="J53" s="223"/>
      <c r="K53" s="223">
        <f t="shared" ref="K53:L63" si="4">SUM(C53,E53,G53,I53)</f>
        <v>0</v>
      </c>
      <c r="L53" s="223">
        <f t="shared" si="4"/>
        <v>0</v>
      </c>
    </row>
    <row r="54" spans="2:12">
      <c r="B54" s="222" t="s">
        <v>498</v>
      </c>
      <c r="C54" s="223"/>
      <c r="D54" s="223"/>
      <c r="E54" s="223"/>
      <c r="F54" s="223"/>
      <c r="G54" s="223"/>
      <c r="H54" s="223"/>
      <c r="I54" s="223"/>
      <c r="J54" s="223"/>
      <c r="K54" s="223">
        <f t="shared" si="4"/>
        <v>0</v>
      </c>
      <c r="L54" s="223">
        <f t="shared" si="4"/>
        <v>0</v>
      </c>
    </row>
    <row r="55" spans="2:12">
      <c r="B55" s="222" t="s">
        <v>499</v>
      </c>
      <c r="C55" s="223"/>
      <c r="D55" s="223"/>
      <c r="E55" s="223"/>
      <c r="F55" s="223"/>
      <c r="G55" s="223"/>
      <c r="H55" s="223"/>
      <c r="I55" s="223"/>
      <c r="J55" s="223"/>
      <c r="K55" s="223">
        <f t="shared" si="4"/>
        <v>0</v>
      </c>
      <c r="L55" s="223">
        <f t="shared" si="4"/>
        <v>0</v>
      </c>
    </row>
    <row r="56" spans="2:12">
      <c r="B56" s="222" t="s">
        <v>500</v>
      </c>
      <c r="C56" s="223"/>
      <c r="D56" s="223"/>
      <c r="E56" s="223"/>
      <c r="F56" s="223"/>
      <c r="G56" s="223"/>
      <c r="H56" s="223"/>
      <c r="I56" s="223"/>
      <c r="J56" s="223"/>
      <c r="K56" s="223">
        <f t="shared" si="4"/>
        <v>0</v>
      </c>
      <c r="L56" s="223">
        <f t="shared" si="4"/>
        <v>0</v>
      </c>
    </row>
    <row r="57" spans="2:12">
      <c r="B57" s="222" t="s">
        <v>501</v>
      </c>
      <c r="C57" s="223"/>
      <c r="D57" s="223"/>
      <c r="E57" s="223"/>
      <c r="F57" s="223"/>
      <c r="G57" s="223"/>
      <c r="H57" s="223"/>
      <c r="I57" s="223"/>
      <c r="J57" s="223"/>
      <c r="K57" s="223">
        <f t="shared" si="4"/>
        <v>0</v>
      </c>
      <c r="L57" s="223">
        <f t="shared" si="4"/>
        <v>0</v>
      </c>
    </row>
    <row r="58" spans="2:12">
      <c r="B58" s="222" t="s">
        <v>502</v>
      </c>
      <c r="C58" s="223"/>
      <c r="D58" s="223"/>
      <c r="E58" s="223"/>
      <c r="F58" s="223"/>
      <c r="G58" s="223"/>
      <c r="H58" s="223"/>
      <c r="I58" s="223"/>
      <c r="J58" s="223"/>
      <c r="K58" s="223">
        <f t="shared" si="4"/>
        <v>0</v>
      </c>
      <c r="L58" s="223">
        <f t="shared" si="4"/>
        <v>0</v>
      </c>
    </row>
    <row r="59" spans="2:12">
      <c r="B59" s="222" t="s">
        <v>503</v>
      </c>
      <c r="C59" s="223"/>
      <c r="D59" s="223"/>
      <c r="E59" s="223"/>
      <c r="F59" s="223"/>
      <c r="G59" s="223"/>
      <c r="H59" s="223"/>
      <c r="I59" s="223"/>
      <c r="J59" s="223"/>
      <c r="K59" s="223">
        <f t="shared" si="4"/>
        <v>0</v>
      </c>
      <c r="L59" s="223">
        <f t="shared" si="4"/>
        <v>0</v>
      </c>
    </row>
    <row r="60" spans="2:12">
      <c r="B60" s="222" t="s">
        <v>504</v>
      </c>
      <c r="C60" s="223"/>
      <c r="D60" s="223"/>
      <c r="E60" s="223"/>
      <c r="F60" s="223"/>
      <c r="G60" s="223"/>
      <c r="H60" s="223"/>
      <c r="I60" s="223"/>
      <c r="J60" s="223"/>
      <c r="K60" s="223">
        <f t="shared" si="4"/>
        <v>0</v>
      </c>
      <c r="L60" s="223">
        <f t="shared" si="4"/>
        <v>0</v>
      </c>
    </row>
    <row r="61" spans="2:12">
      <c r="B61" s="222" t="s">
        <v>505</v>
      </c>
      <c r="C61" s="223"/>
      <c r="D61" s="223"/>
      <c r="E61" s="223"/>
      <c r="F61" s="223"/>
      <c r="G61" s="223"/>
      <c r="H61" s="223"/>
      <c r="I61" s="223"/>
      <c r="J61" s="223"/>
      <c r="K61" s="223">
        <f t="shared" si="4"/>
        <v>0</v>
      </c>
      <c r="L61" s="223">
        <f t="shared" si="4"/>
        <v>0</v>
      </c>
    </row>
    <row r="62" spans="2:12">
      <c r="B62" s="222" t="s">
        <v>506</v>
      </c>
      <c r="C62" s="223"/>
      <c r="D62" s="223"/>
      <c r="E62" s="223"/>
      <c r="F62" s="223"/>
      <c r="G62" s="223"/>
      <c r="H62" s="223"/>
      <c r="I62" s="223"/>
      <c r="J62" s="223"/>
      <c r="K62" s="223">
        <f t="shared" si="4"/>
        <v>0</v>
      </c>
      <c r="L62" s="223">
        <f t="shared" si="4"/>
        <v>0</v>
      </c>
    </row>
    <row r="63" spans="2:12">
      <c r="B63" s="222" t="s">
        <v>507</v>
      </c>
      <c r="C63" s="223"/>
      <c r="D63" s="223"/>
      <c r="E63" s="223"/>
      <c r="F63" s="223"/>
      <c r="G63" s="223"/>
      <c r="H63" s="223"/>
      <c r="I63" s="223"/>
      <c r="J63" s="223"/>
      <c r="K63" s="223">
        <f t="shared" si="4"/>
        <v>0</v>
      </c>
      <c r="L63" s="223">
        <f t="shared" si="4"/>
        <v>0</v>
      </c>
    </row>
    <row r="64" spans="2:12">
      <c r="B64" s="224" t="s">
        <v>491</v>
      </c>
      <c r="C64" s="224">
        <f t="shared" ref="C64:H64" si="5">SUM(C52:C63)</f>
        <v>0</v>
      </c>
      <c r="D64" s="224">
        <f t="shared" si="5"/>
        <v>0</v>
      </c>
      <c r="E64" s="224">
        <f t="shared" si="5"/>
        <v>0</v>
      </c>
      <c r="F64" s="224">
        <f t="shared" si="5"/>
        <v>0</v>
      </c>
      <c r="G64" s="224">
        <f t="shared" si="5"/>
        <v>0</v>
      </c>
      <c r="H64" s="224">
        <f t="shared" si="5"/>
        <v>0</v>
      </c>
      <c r="I64" s="224"/>
      <c r="J64" s="224"/>
      <c r="K64" s="224">
        <f t="shared" ref="K64:L64" si="6">SUM(K52:K63)</f>
        <v>0</v>
      </c>
      <c r="L64" s="224">
        <f t="shared" si="6"/>
        <v>0</v>
      </c>
    </row>
    <row r="65" spans="2:12">
      <c r="B65" s="287"/>
      <c r="C65" s="287"/>
      <c r="D65" s="287"/>
      <c r="E65" s="287"/>
      <c r="F65" s="287"/>
      <c r="G65" s="287"/>
      <c r="H65" s="287"/>
      <c r="I65" s="287"/>
      <c r="J65" s="287"/>
      <c r="K65" s="3"/>
      <c r="L65" s="3"/>
    </row>
    <row r="66" spans="2:12">
      <c r="B66" s="287"/>
      <c r="C66" s="287"/>
      <c r="D66" s="287"/>
      <c r="E66" s="287"/>
      <c r="F66" s="287"/>
      <c r="G66" s="287"/>
      <c r="H66" s="287"/>
      <c r="I66" s="287"/>
      <c r="J66" s="287"/>
      <c r="K66" s="3"/>
      <c r="L66" s="3"/>
    </row>
    <row r="69" spans="2:12" ht="11.25" customHeight="1">
      <c r="B69" s="216" t="s">
        <v>0</v>
      </c>
      <c r="C69" s="226"/>
      <c r="G69" s="216" t="s">
        <v>489</v>
      </c>
      <c r="H69" s="288" t="s">
        <v>510</v>
      </c>
      <c r="I69" s="289"/>
      <c r="J69" s="290"/>
    </row>
    <row r="70" spans="2:12" ht="29.25" customHeight="1">
      <c r="B70" s="218" t="s">
        <v>51</v>
      </c>
      <c r="C70" s="291" t="s">
        <v>510</v>
      </c>
      <c r="D70" s="279"/>
      <c r="E70" s="279"/>
      <c r="F70" s="279"/>
      <c r="G70" s="279"/>
      <c r="H70" s="279"/>
      <c r="I70" s="279"/>
      <c r="J70" s="280"/>
      <c r="K70" s="219"/>
      <c r="L70" s="219"/>
    </row>
    <row r="71" spans="2:1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2:12">
      <c r="B72" s="281" t="s">
        <v>490</v>
      </c>
      <c r="C72" s="283">
        <v>2014</v>
      </c>
      <c r="D72" s="284"/>
      <c r="E72" s="283">
        <v>2015</v>
      </c>
      <c r="F72" s="284"/>
      <c r="G72" s="283">
        <v>2016</v>
      </c>
      <c r="H72" s="284"/>
      <c r="I72" s="283">
        <v>2017</v>
      </c>
      <c r="J72" s="284"/>
      <c r="K72" s="285" t="s">
        <v>491</v>
      </c>
      <c r="L72" s="286"/>
    </row>
    <row r="73" spans="2:12" ht="20.399999999999999">
      <c r="B73" s="282"/>
      <c r="C73" s="221" t="s">
        <v>492</v>
      </c>
      <c r="D73" s="221" t="s">
        <v>493</v>
      </c>
      <c r="E73" s="221" t="s">
        <v>492</v>
      </c>
      <c r="F73" s="221" t="s">
        <v>493</v>
      </c>
      <c r="G73" s="221" t="s">
        <v>492</v>
      </c>
      <c r="H73" s="221" t="s">
        <v>493</v>
      </c>
      <c r="I73" s="221" t="s">
        <v>492</v>
      </c>
      <c r="J73" s="221" t="s">
        <v>493</v>
      </c>
      <c r="K73" s="221" t="s">
        <v>494</v>
      </c>
      <c r="L73" s="221" t="s">
        <v>495</v>
      </c>
    </row>
    <row r="74" spans="2:12">
      <c r="B74" s="222" t="s">
        <v>496</v>
      </c>
      <c r="C74" s="223"/>
      <c r="D74" s="223"/>
      <c r="E74" s="223"/>
      <c r="F74" s="223"/>
      <c r="G74" s="223"/>
      <c r="H74" s="223"/>
      <c r="I74" s="223"/>
      <c r="J74" s="223"/>
      <c r="K74" s="223">
        <f>SUM(C74,E74,G74,I74)</f>
        <v>0</v>
      </c>
      <c r="L74" s="223">
        <f>SUM(D74,F74,H74,J74)</f>
        <v>0</v>
      </c>
    </row>
    <row r="75" spans="2:12">
      <c r="B75" s="222" t="s">
        <v>497</v>
      </c>
      <c r="C75" s="223"/>
      <c r="D75" s="223"/>
      <c r="E75" s="223"/>
      <c r="F75" s="223"/>
      <c r="G75" s="223"/>
      <c r="H75" s="223"/>
      <c r="I75" s="223"/>
      <c r="J75" s="223"/>
      <c r="K75" s="223">
        <f t="shared" ref="K75:L85" si="7">SUM(C75,E75,G75,I75)</f>
        <v>0</v>
      </c>
      <c r="L75" s="223">
        <f t="shared" si="7"/>
        <v>0</v>
      </c>
    </row>
    <row r="76" spans="2:12">
      <c r="B76" s="222" t="s">
        <v>498</v>
      </c>
      <c r="C76" s="223"/>
      <c r="D76" s="223"/>
      <c r="E76" s="223"/>
      <c r="F76" s="223"/>
      <c r="G76" s="223"/>
      <c r="H76" s="223"/>
      <c r="I76" s="223"/>
      <c r="J76" s="223"/>
      <c r="K76" s="223">
        <f t="shared" si="7"/>
        <v>0</v>
      </c>
      <c r="L76" s="223">
        <f t="shared" si="7"/>
        <v>0</v>
      </c>
    </row>
    <row r="77" spans="2:12">
      <c r="B77" s="222" t="s">
        <v>499</v>
      </c>
      <c r="C77" s="223"/>
      <c r="D77" s="223"/>
      <c r="E77" s="223"/>
      <c r="F77" s="223"/>
      <c r="G77" s="223"/>
      <c r="H77" s="223"/>
      <c r="I77" s="223"/>
      <c r="J77" s="223"/>
      <c r="K77" s="223">
        <f t="shared" si="7"/>
        <v>0</v>
      </c>
      <c r="L77" s="223">
        <f t="shared" si="7"/>
        <v>0</v>
      </c>
    </row>
    <row r="78" spans="2:12">
      <c r="B78" s="222" t="s">
        <v>500</v>
      </c>
      <c r="C78" s="223"/>
      <c r="D78" s="223"/>
      <c r="E78" s="223"/>
      <c r="F78" s="223"/>
      <c r="G78" s="223"/>
      <c r="H78" s="223"/>
      <c r="I78" s="223"/>
      <c r="J78" s="223"/>
      <c r="K78" s="223">
        <f t="shared" si="7"/>
        <v>0</v>
      </c>
      <c r="L78" s="223">
        <f t="shared" si="7"/>
        <v>0</v>
      </c>
    </row>
    <row r="79" spans="2:12">
      <c r="B79" s="222" t="s">
        <v>501</v>
      </c>
      <c r="C79" s="223"/>
      <c r="D79" s="223"/>
      <c r="E79" s="223"/>
      <c r="F79" s="223"/>
      <c r="G79" s="223"/>
      <c r="H79" s="223"/>
      <c r="I79" s="223"/>
      <c r="J79" s="223"/>
      <c r="K79" s="223">
        <f t="shared" si="7"/>
        <v>0</v>
      </c>
      <c r="L79" s="223">
        <f t="shared" si="7"/>
        <v>0</v>
      </c>
    </row>
    <row r="80" spans="2:12">
      <c r="B80" s="222" t="s">
        <v>502</v>
      </c>
      <c r="C80" s="223"/>
      <c r="D80" s="223"/>
      <c r="E80" s="223"/>
      <c r="F80" s="223"/>
      <c r="G80" s="223"/>
      <c r="H80" s="223"/>
      <c r="I80" s="223"/>
      <c r="J80" s="223"/>
      <c r="K80" s="223">
        <f t="shared" si="7"/>
        <v>0</v>
      </c>
      <c r="L80" s="223">
        <f t="shared" si="7"/>
        <v>0</v>
      </c>
    </row>
    <row r="81" spans="2:12">
      <c r="B81" s="222" t="s">
        <v>503</v>
      </c>
      <c r="C81" s="223"/>
      <c r="D81" s="223"/>
      <c r="E81" s="223"/>
      <c r="F81" s="223"/>
      <c r="G81" s="223"/>
      <c r="H81" s="223"/>
      <c r="I81" s="223"/>
      <c r="J81" s="223"/>
      <c r="K81" s="223">
        <f t="shared" si="7"/>
        <v>0</v>
      </c>
      <c r="L81" s="223">
        <f t="shared" si="7"/>
        <v>0</v>
      </c>
    </row>
    <row r="82" spans="2:12">
      <c r="B82" s="222" t="s">
        <v>504</v>
      </c>
      <c r="C82" s="223"/>
      <c r="D82" s="223"/>
      <c r="E82" s="223"/>
      <c r="F82" s="223"/>
      <c r="G82" s="223"/>
      <c r="H82" s="223"/>
      <c r="I82" s="223"/>
      <c r="J82" s="223"/>
      <c r="K82" s="223">
        <f t="shared" si="7"/>
        <v>0</v>
      </c>
      <c r="L82" s="223">
        <f t="shared" si="7"/>
        <v>0</v>
      </c>
    </row>
    <row r="83" spans="2:12">
      <c r="B83" s="222" t="s">
        <v>505</v>
      </c>
      <c r="C83" s="223"/>
      <c r="D83" s="223"/>
      <c r="E83" s="223"/>
      <c r="F83" s="223"/>
      <c r="G83" s="223"/>
      <c r="H83" s="223"/>
      <c r="I83" s="223"/>
      <c r="J83" s="223"/>
      <c r="K83" s="223">
        <f t="shared" si="7"/>
        <v>0</v>
      </c>
      <c r="L83" s="223">
        <f t="shared" si="7"/>
        <v>0</v>
      </c>
    </row>
    <row r="84" spans="2:12">
      <c r="B84" s="222" t="s">
        <v>506</v>
      </c>
      <c r="C84" s="223"/>
      <c r="D84" s="223"/>
      <c r="E84" s="223"/>
      <c r="F84" s="223"/>
      <c r="G84" s="223"/>
      <c r="H84" s="223"/>
      <c r="I84" s="223"/>
      <c r="J84" s="223"/>
      <c r="K84" s="223">
        <f t="shared" si="7"/>
        <v>0</v>
      </c>
      <c r="L84" s="223">
        <f t="shared" si="7"/>
        <v>0</v>
      </c>
    </row>
    <row r="85" spans="2:12">
      <c r="B85" s="222" t="s">
        <v>507</v>
      </c>
      <c r="C85" s="223"/>
      <c r="D85" s="223"/>
      <c r="E85" s="223"/>
      <c r="F85" s="223"/>
      <c r="G85" s="223"/>
      <c r="H85" s="223"/>
      <c r="I85" s="223"/>
      <c r="J85" s="223"/>
      <c r="K85" s="223">
        <f t="shared" si="7"/>
        <v>0</v>
      </c>
      <c r="L85" s="223">
        <f t="shared" si="7"/>
        <v>0</v>
      </c>
    </row>
    <row r="86" spans="2:12">
      <c r="B86" s="224" t="s">
        <v>491</v>
      </c>
      <c r="C86" s="224">
        <f t="shared" ref="C86:L86" si="8">SUM(C74:C85)</f>
        <v>0</v>
      </c>
      <c r="D86" s="224">
        <f t="shared" si="8"/>
        <v>0</v>
      </c>
      <c r="E86" s="224">
        <f t="shared" si="8"/>
        <v>0</v>
      </c>
      <c r="F86" s="224">
        <f t="shared" si="8"/>
        <v>0</v>
      </c>
      <c r="G86" s="224">
        <f t="shared" si="8"/>
        <v>0</v>
      </c>
      <c r="H86" s="224">
        <f t="shared" si="8"/>
        <v>0</v>
      </c>
      <c r="I86" s="224">
        <f t="shared" si="8"/>
        <v>0</v>
      </c>
      <c r="J86" s="224">
        <f t="shared" si="8"/>
        <v>0</v>
      </c>
      <c r="K86" s="224">
        <f t="shared" si="8"/>
        <v>0</v>
      </c>
      <c r="L86" s="224">
        <f t="shared" si="8"/>
        <v>0</v>
      </c>
    </row>
    <row r="87" spans="2:12" ht="11.25" customHeight="1">
      <c r="B87" s="292"/>
      <c r="C87" s="292"/>
      <c r="D87" s="292"/>
      <c r="E87" s="292"/>
      <c r="F87" s="292"/>
      <c r="G87" s="292"/>
      <c r="H87" s="292"/>
      <c r="I87" s="292"/>
      <c r="J87" s="292"/>
      <c r="K87" s="3"/>
      <c r="L87" s="3"/>
    </row>
    <row r="88" spans="2:12">
      <c r="B88" s="287"/>
      <c r="C88" s="287"/>
      <c r="D88" s="287"/>
      <c r="E88" s="287"/>
      <c r="F88" s="287"/>
      <c r="G88" s="287"/>
      <c r="H88" s="287"/>
      <c r="I88" s="287"/>
      <c r="J88" s="287"/>
      <c r="K88" s="3"/>
      <c r="L88" s="3"/>
    </row>
    <row r="91" spans="2:12" ht="11.25" customHeight="1">
      <c r="B91" s="216" t="s">
        <v>0</v>
      </c>
      <c r="C91" s="226"/>
      <c r="G91" s="216" t="s">
        <v>489</v>
      </c>
      <c r="H91" s="288" t="s">
        <v>510</v>
      </c>
      <c r="I91" s="289"/>
      <c r="J91" s="290"/>
    </row>
    <row r="92" spans="2:12" ht="29.25" customHeight="1">
      <c r="B92" s="218" t="s">
        <v>51</v>
      </c>
      <c r="C92" s="291" t="s">
        <v>510</v>
      </c>
      <c r="D92" s="279"/>
      <c r="E92" s="279"/>
      <c r="F92" s="279"/>
      <c r="G92" s="279"/>
      <c r="H92" s="279"/>
      <c r="I92" s="279"/>
      <c r="J92" s="280"/>
      <c r="K92" s="219"/>
      <c r="L92" s="219"/>
    </row>
    <row r="93" spans="2:1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2:12">
      <c r="B94" s="281" t="s">
        <v>490</v>
      </c>
      <c r="C94" s="283">
        <v>2014</v>
      </c>
      <c r="D94" s="284"/>
      <c r="E94" s="283">
        <v>2015</v>
      </c>
      <c r="F94" s="284"/>
      <c r="G94" s="283">
        <v>2016</v>
      </c>
      <c r="H94" s="284"/>
      <c r="I94" s="283">
        <v>2017</v>
      </c>
      <c r="J94" s="284"/>
      <c r="K94" s="285" t="s">
        <v>491</v>
      </c>
      <c r="L94" s="286"/>
    </row>
    <row r="95" spans="2:12" ht="20.399999999999999">
      <c r="B95" s="282"/>
      <c r="C95" s="221" t="s">
        <v>492</v>
      </c>
      <c r="D95" s="221" t="s">
        <v>493</v>
      </c>
      <c r="E95" s="221" t="s">
        <v>492</v>
      </c>
      <c r="F95" s="221" t="s">
        <v>493</v>
      </c>
      <c r="G95" s="221" t="s">
        <v>492</v>
      </c>
      <c r="H95" s="221" t="s">
        <v>493</v>
      </c>
      <c r="I95" s="221" t="s">
        <v>492</v>
      </c>
      <c r="J95" s="221" t="s">
        <v>493</v>
      </c>
      <c r="K95" s="221" t="s">
        <v>494</v>
      </c>
      <c r="L95" s="221" t="s">
        <v>495</v>
      </c>
    </row>
    <row r="96" spans="2:12">
      <c r="B96" s="222" t="s">
        <v>496</v>
      </c>
      <c r="C96" s="223"/>
      <c r="D96" s="223"/>
      <c r="E96" s="223"/>
      <c r="F96" s="223"/>
      <c r="G96" s="223"/>
      <c r="H96" s="223"/>
      <c r="I96" s="223"/>
      <c r="J96" s="223"/>
      <c r="K96" s="223">
        <f>SUM(C96,E96,G96,I96)</f>
        <v>0</v>
      </c>
      <c r="L96" s="223">
        <f>SUM(D96,F96,H96,J96)</f>
        <v>0</v>
      </c>
    </row>
    <row r="97" spans="2:12">
      <c r="B97" s="222" t="s">
        <v>497</v>
      </c>
      <c r="C97" s="223"/>
      <c r="D97" s="223"/>
      <c r="E97" s="223"/>
      <c r="F97" s="223"/>
      <c r="G97" s="223"/>
      <c r="H97" s="223"/>
      <c r="I97" s="223"/>
      <c r="J97" s="223"/>
      <c r="K97" s="223">
        <f t="shared" ref="K97:L107" si="9">SUM(C97,E97,G97,I97)</f>
        <v>0</v>
      </c>
      <c r="L97" s="223">
        <f t="shared" si="9"/>
        <v>0</v>
      </c>
    </row>
    <row r="98" spans="2:12">
      <c r="B98" s="222" t="s">
        <v>498</v>
      </c>
      <c r="C98" s="223"/>
      <c r="D98" s="223"/>
      <c r="E98" s="223"/>
      <c r="F98" s="223"/>
      <c r="G98" s="223"/>
      <c r="H98" s="223"/>
      <c r="I98" s="223"/>
      <c r="J98" s="223"/>
      <c r="K98" s="223">
        <f t="shared" si="9"/>
        <v>0</v>
      </c>
      <c r="L98" s="223">
        <f t="shared" si="9"/>
        <v>0</v>
      </c>
    </row>
    <row r="99" spans="2:12">
      <c r="B99" s="222" t="s">
        <v>499</v>
      </c>
      <c r="C99" s="223"/>
      <c r="D99" s="223"/>
      <c r="E99" s="223"/>
      <c r="F99" s="223"/>
      <c r="G99" s="223"/>
      <c r="H99" s="223"/>
      <c r="I99" s="223"/>
      <c r="J99" s="223"/>
      <c r="K99" s="223">
        <f t="shared" si="9"/>
        <v>0</v>
      </c>
      <c r="L99" s="223">
        <f t="shared" si="9"/>
        <v>0</v>
      </c>
    </row>
    <row r="100" spans="2:12">
      <c r="B100" s="222" t="s">
        <v>500</v>
      </c>
      <c r="C100" s="223"/>
      <c r="D100" s="223"/>
      <c r="E100" s="223"/>
      <c r="F100" s="223"/>
      <c r="G100" s="223"/>
      <c r="H100" s="223"/>
      <c r="I100" s="223"/>
      <c r="J100" s="223"/>
      <c r="K100" s="223">
        <f t="shared" si="9"/>
        <v>0</v>
      </c>
      <c r="L100" s="223">
        <f t="shared" si="9"/>
        <v>0</v>
      </c>
    </row>
    <row r="101" spans="2:12">
      <c r="B101" s="222" t="s">
        <v>501</v>
      </c>
      <c r="C101" s="223"/>
      <c r="D101" s="223"/>
      <c r="E101" s="223"/>
      <c r="F101" s="223"/>
      <c r="G101" s="223"/>
      <c r="H101" s="223"/>
      <c r="I101" s="223"/>
      <c r="J101" s="223"/>
      <c r="K101" s="223">
        <f t="shared" si="9"/>
        <v>0</v>
      </c>
      <c r="L101" s="223">
        <f t="shared" si="9"/>
        <v>0</v>
      </c>
    </row>
    <row r="102" spans="2:12">
      <c r="B102" s="222" t="s">
        <v>502</v>
      </c>
      <c r="C102" s="223"/>
      <c r="D102" s="223"/>
      <c r="E102" s="223"/>
      <c r="F102" s="223"/>
      <c r="G102" s="223"/>
      <c r="H102" s="223"/>
      <c r="I102" s="223"/>
      <c r="J102" s="223"/>
      <c r="K102" s="223">
        <f t="shared" si="9"/>
        <v>0</v>
      </c>
      <c r="L102" s="223">
        <f t="shared" si="9"/>
        <v>0</v>
      </c>
    </row>
    <row r="103" spans="2:12">
      <c r="B103" s="222" t="s">
        <v>503</v>
      </c>
      <c r="C103" s="223"/>
      <c r="D103" s="223"/>
      <c r="E103" s="223"/>
      <c r="F103" s="223"/>
      <c r="G103" s="223"/>
      <c r="H103" s="223"/>
      <c r="I103" s="223"/>
      <c r="J103" s="223"/>
      <c r="K103" s="223">
        <f t="shared" si="9"/>
        <v>0</v>
      </c>
      <c r="L103" s="223">
        <f t="shared" si="9"/>
        <v>0</v>
      </c>
    </row>
    <row r="104" spans="2:12">
      <c r="B104" s="222" t="s">
        <v>504</v>
      </c>
      <c r="C104" s="223"/>
      <c r="D104" s="223"/>
      <c r="E104" s="223"/>
      <c r="F104" s="223"/>
      <c r="G104" s="223"/>
      <c r="H104" s="223"/>
      <c r="I104" s="223"/>
      <c r="J104" s="223"/>
      <c r="K104" s="223">
        <f t="shared" si="9"/>
        <v>0</v>
      </c>
      <c r="L104" s="223">
        <f t="shared" si="9"/>
        <v>0</v>
      </c>
    </row>
    <row r="105" spans="2:12">
      <c r="B105" s="222" t="s">
        <v>505</v>
      </c>
      <c r="C105" s="223"/>
      <c r="D105" s="223"/>
      <c r="E105" s="223"/>
      <c r="F105" s="223"/>
      <c r="G105" s="223"/>
      <c r="H105" s="223"/>
      <c r="I105" s="223"/>
      <c r="J105" s="223"/>
      <c r="K105" s="223">
        <f t="shared" si="9"/>
        <v>0</v>
      </c>
      <c r="L105" s="223">
        <f t="shared" si="9"/>
        <v>0</v>
      </c>
    </row>
    <row r="106" spans="2:12">
      <c r="B106" s="222" t="s">
        <v>506</v>
      </c>
      <c r="C106" s="223"/>
      <c r="D106" s="223"/>
      <c r="E106" s="223"/>
      <c r="F106" s="223"/>
      <c r="G106" s="223"/>
      <c r="H106" s="223"/>
      <c r="I106" s="223"/>
      <c r="J106" s="223"/>
      <c r="K106" s="223">
        <f t="shared" si="9"/>
        <v>0</v>
      </c>
      <c r="L106" s="223">
        <f t="shared" si="9"/>
        <v>0</v>
      </c>
    </row>
    <row r="107" spans="2:12">
      <c r="B107" s="222" t="s">
        <v>507</v>
      </c>
      <c r="C107" s="223"/>
      <c r="D107" s="223"/>
      <c r="E107" s="223"/>
      <c r="F107" s="223"/>
      <c r="G107" s="223"/>
      <c r="H107" s="223"/>
      <c r="I107" s="223"/>
      <c r="J107" s="223"/>
      <c r="K107" s="223">
        <f t="shared" si="9"/>
        <v>0</v>
      </c>
      <c r="L107" s="223">
        <f t="shared" si="9"/>
        <v>0</v>
      </c>
    </row>
    <row r="108" spans="2:12">
      <c r="B108" s="224" t="s">
        <v>491</v>
      </c>
      <c r="C108" s="224">
        <f t="shared" ref="C108:H108" si="10">SUM(C96:C107)</f>
        <v>0</v>
      </c>
      <c r="D108" s="224">
        <f t="shared" si="10"/>
        <v>0</v>
      </c>
      <c r="E108" s="224">
        <f t="shared" si="10"/>
        <v>0</v>
      </c>
      <c r="F108" s="224">
        <f t="shared" si="10"/>
        <v>0</v>
      </c>
      <c r="G108" s="224">
        <f t="shared" si="10"/>
        <v>0</v>
      </c>
      <c r="H108" s="224">
        <f t="shared" si="10"/>
        <v>0</v>
      </c>
      <c r="I108" s="224"/>
      <c r="J108" s="224"/>
      <c r="K108" s="224">
        <f t="shared" ref="K108:L108" si="11">SUM(K96:K107)</f>
        <v>0</v>
      </c>
      <c r="L108" s="224">
        <f t="shared" si="11"/>
        <v>0</v>
      </c>
    </row>
    <row r="109" spans="2:12" ht="11.25" customHeight="1">
      <c r="B109" s="292"/>
      <c r="C109" s="292"/>
      <c r="D109" s="292"/>
      <c r="E109" s="292"/>
      <c r="F109" s="292"/>
      <c r="G109" s="292"/>
      <c r="H109" s="292"/>
      <c r="I109" s="292"/>
      <c r="J109" s="292"/>
      <c r="K109" s="3"/>
      <c r="L109" s="3"/>
    </row>
    <row r="110" spans="2:12">
      <c r="B110" s="287"/>
      <c r="C110" s="287"/>
      <c r="D110" s="287"/>
      <c r="E110" s="287"/>
      <c r="F110" s="287"/>
      <c r="G110" s="287"/>
      <c r="H110" s="287"/>
      <c r="I110" s="287"/>
      <c r="J110" s="287"/>
      <c r="K110" s="3"/>
      <c r="L110" s="3"/>
    </row>
    <row r="113" spans="2:12" ht="11.25" customHeight="1">
      <c r="B113" s="216" t="s">
        <v>0</v>
      </c>
      <c r="C113" s="226"/>
      <c r="G113" s="216" t="s">
        <v>489</v>
      </c>
      <c r="H113" s="288" t="s">
        <v>510</v>
      </c>
      <c r="I113" s="289"/>
      <c r="J113" s="290"/>
    </row>
    <row r="114" spans="2:12" ht="29.25" customHeight="1">
      <c r="B114" s="218" t="s">
        <v>51</v>
      </c>
      <c r="C114" s="291" t="s">
        <v>510</v>
      </c>
      <c r="D114" s="279"/>
      <c r="E114" s="279"/>
      <c r="F114" s="279"/>
      <c r="G114" s="279"/>
      <c r="H114" s="279"/>
      <c r="I114" s="279"/>
      <c r="J114" s="280"/>
      <c r="K114" s="219"/>
      <c r="L114" s="219"/>
    </row>
    <row r="115" spans="2:1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>
      <c r="B116" s="281" t="s">
        <v>490</v>
      </c>
      <c r="C116" s="283">
        <v>2014</v>
      </c>
      <c r="D116" s="284"/>
      <c r="E116" s="283">
        <v>2015</v>
      </c>
      <c r="F116" s="284"/>
      <c r="G116" s="283">
        <v>2016</v>
      </c>
      <c r="H116" s="284"/>
      <c r="I116" s="283">
        <v>2017</v>
      </c>
      <c r="J116" s="284"/>
      <c r="K116" s="285" t="s">
        <v>491</v>
      </c>
      <c r="L116" s="286"/>
    </row>
    <row r="117" spans="2:12" ht="20.399999999999999">
      <c r="B117" s="282"/>
      <c r="C117" s="221" t="s">
        <v>492</v>
      </c>
      <c r="D117" s="221" t="s">
        <v>493</v>
      </c>
      <c r="E117" s="221" t="s">
        <v>492</v>
      </c>
      <c r="F117" s="221" t="s">
        <v>493</v>
      </c>
      <c r="G117" s="221" t="s">
        <v>492</v>
      </c>
      <c r="H117" s="221" t="s">
        <v>493</v>
      </c>
      <c r="I117" s="221" t="s">
        <v>492</v>
      </c>
      <c r="J117" s="221" t="s">
        <v>493</v>
      </c>
      <c r="K117" s="221" t="s">
        <v>494</v>
      </c>
      <c r="L117" s="221" t="s">
        <v>495</v>
      </c>
    </row>
    <row r="118" spans="2:12">
      <c r="B118" s="222" t="s">
        <v>496</v>
      </c>
      <c r="C118" s="223"/>
      <c r="D118" s="223"/>
      <c r="E118" s="223"/>
      <c r="F118" s="223"/>
      <c r="G118" s="223"/>
      <c r="H118" s="223"/>
      <c r="I118" s="223"/>
      <c r="J118" s="223"/>
      <c r="K118" s="223">
        <f>SUM(C118,E118,G118,I118)</f>
        <v>0</v>
      </c>
      <c r="L118" s="223">
        <f>SUM(D118,F118,H118,J118)</f>
        <v>0</v>
      </c>
    </row>
    <row r="119" spans="2:12">
      <c r="B119" s="222" t="s">
        <v>497</v>
      </c>
      <c r="C119" s="223"/>
      <c r="D119" s="223"/>
      <c r="E119" s="223"/>
      <c r="F119" s="223"/>
      <c r="G119" s="223"/>
      <c r="H119" s="223"/>
      <c r="I119" s="223"/>
      <c r="J119" s="223"/>
      <c r="K119" s="223">
        <f t="shared" ref="K119:L129" si="12">SUM(C119,E119,G119,I119)</f>
        <v>0</v>
      </c>
      <c r="L119" s="223">
        <f t="shared" si="12"/>
        <v>0</v>
      </c>
    </row>
    <row r="120" spans="2:12">
      <c r="B120" s="222" t="s">
        <v>498</v>
      </c>
      <c r="C120" s="223"/>
      <c r="D120" s="223"/>
      <c r="E120" s="223"/>
      <c r="F120" s="223"/>
      <c r="G120" s="223"/>
      <c r="H120" s="223"/>
      <c r="I120" s="223"/>
      <c r="J120" s="223"/>
      <c r="K120" s="223">
        <f t="shared" si="12"/>
        <v>0</v>
      </c>
      <c r="L120" s="223">
        <f t="shared" si="12"/>
        <v>0</v>
      </c>
    </row>
    <row r="121" spans="2:12">
      <c r="B121" s="222" t="s">
        <v>499</v>
      </c>
      <c r="C121" s="223"/>
      <c r="D121" s="223"/>
      <c r="E121" s="223"/>
      <c r="F121" s="223"/>
      <c r="G121" s="223"/>
      <c r="H121" s="223"/>
      <c r="I121" s="223"/>
      <c r="J121" s="223"/>
      <c r="K121" s="223">
        <f t="shared" si="12"/>
        <v>0</v>
      </c>
      <c r="L121" s="223">
        <f t="shared" si="12"/>
        <v>0</v>
      </c>
    </row>
    <row r="122" spans="2:12">
      <c r="B122" s="222" t="s">
        <v>500</v>
      </c>
      <c r="C122" s="223"/>
      <c r="D122" s="223"/>
      <c r="E122" s="223"/>
      <c r="F122" s="223"/>
      <c r="G122" s="223"/>
      <c r="H122" s="223"/>
      <c r="I122" s="223"/>
      <c r="J122" s="223"/>
      <c r="K122" s="223">
        <f t="shared" si="12"/>
        <v>0</v>
      </c>
      <c r="L122" s="223">
        <f t="shared" si="12"/>
        <v>0</v>
      </c>
    </row>
    <row r="123" spans="2:12">
      <c r="B123" s="222" t="s">
        <v>501</v>
      </c>
      <c r="C123" s="223"/>
      <c r="D123" s="223"/>
      <c r="E123" s="223"/>
      <c r="F123" s="223"/>
      <c r="G123" s="223"/>
      <c r="H123" s="223"/>
      <c r="I123" s="223"/>
      <c r="J123" s="223"/>
      <c r="K123" s="223">
        <f t="shared" si="12"/>
        <v>0</v>
      </c>
      <c r="L123" s="223">
        <f t="shared" si="12"/>
        <v>0</v>
      </c>
    </row>
    <row r="124" spans="2:12">
      <c r="B124" s="222" t="s">
        <v>502</v>
      </c>
      <c r="C124" s="223"/>
      <c r="D124" s="223"/>
      <c r="E124" s="223"/>
      <c r="F124" s="223"/>
      <c r="G124" s="223"/>
      <c r="H124" s="223"/>
      <c r="I124" s="223"/>
      <c r="J124" s="223"/>
      <c r="K124" s="223">
        <f t="shared" si="12"/>
        <v>0</v>
      </c>
      <c r="L124" s="223">
        <f t="shared" si="12"/>
        <v>0</v>
      </c>
    </row>
    <row r="125" spans="2:12">
      <c r="B125" s="222" t="s">
        <v>503</v>
      </c>
      <c r="C125" s="223"/>
      <c r="D125" s="223"/>
      <c r="E125" s="223"/>
      <c r="F125" s="223"/>
      <c r="G125" s="223"/>
      <c r="H125" s="223"/>
      <c r="I125" s="223"/>
      <c r="J125" s="223"/>
      <c r="K125" s="223">
        <f t="shared" si="12"/>
        <v>0</v>
      </c>
      <c r="L125" s="223">
        <f t="shared" si="12"/>
        <v>0</v>
      </c>
    </row>
    <row r="126" spans="2:12">
      <c r="B126" s="222" t="s">
        <v>504</v>
      </c>
      <c r="C126" s="223"/>
      <c r="D126" s="223"/>
      <c r="E126" s="223"/>
      <c r="F126" s="223"/>
      <c r="G126" s="223"/>
      <c r="H126" s="223"/>
      <c r="I126" s="223"/>
      <c r="J126" s="223"/>
      <c r="K126" s="223">
        <f t="shared" si="12"/>
        <v>0</v>
      </c>
      <c r="L126" s="223">
        <f t="shared" si="12"/>
        <v>0</v>
      </c>
    </row>
    <row r="127" spans="2:12">
      <c r="B127" s="222" t="s">
        <v>505</v>
      </c>
      <c r="C127" s="223"/>
      <c r="D127" s="223"/>
      <c r="E127" s="223"/>
      <c r="F127" s="223"/>
      <c r="G127" s="223"/>
      <c r="H127" s="223"/>
      <c r="I127" s="223"/>
      <c r="J127" s="223"/>
      <c r="K127" s="223">
        <f t="shared" si="12"/>
        <v>0</v>
      </c>
      <c r="L127" s="223">
        <f t="shared" si="12"/>
        <v>0</v>
      </c>
    </row>
    <row r="128" spans="2:12">
      <c r="B128" s="222" t="s">
        <v>506</v>
      </c>
      <c r="C128" s="223"/>
      <c r="D128" s="223"/>
      <c r="E128" s="223"/>
      <c r="F128" s="223"/>
      <c r="G128" s="223"/>
      <c r="H128" s="223"/>
      <c r="I128" s="223"/>
      <c r="J128" s="223"/>
      <c r="K128" s="223">
        <f t="shared" si="12"/>
        <v>0</v>
      </c>
      <c r="L128" s="223">
        <f t="shared" si="12"/>
        <v>0</v>
      </c>
    </row>
    <row r="129" spans="2:12">
      <c r="B129" s="222" t="s">
        <v>507</v>
      </c>
      <c r="C129" s="223"/>
      <c r="D129" s="223"/>
      <c r="E129" s="223"/>
      <c r="F129" s="223"/>
      <c r="G129" s="223"/>
      <c r="H129" s="223"/>
      <c r="I129" s="223"/>
      <c r="J129" s="223"/>
      <c r="K129" s="223">
        <f t="shared" si="12"/>
        <v>0</v>
      </c>
      <c r="L129" s="223">
        <f t="shared" si="12"/>
        <v>0</v>
      </c>
    </row>
    <row r="130" spans="2:12">
      <c r="B130" s="224" t="s">
        <v>491</v>
      </c>
      <c r="C130" s="224">
        <f t="shared" ref="C130:H130" si="13">SUM(C118:C129)</f>
        <v>0</v>
      </c>
      <c r="D130" s="224">
        <f t="shared" si="13"/>
        <v>0</v>
      </c>
      <c r="E130" s="224">
        <f t="shared" si="13"/>
        <v>0</v>
      </c>
      <c r="F130" s="224">
        <f t="shared" si="13"/>
        <v>0</v>
      </c>
      <c r="G130" s="224">
        <f t="shared" si="13"/>
        <v>0</v>
      </c>
      <c r="H130" s="224">
        <f t="shared" si="13"/>
        <v>0</v>
      </c>
      <c r="I130" s="224"/>
      <c r="J130" s="224"/>
      <c r="K130" s="224">
        <f t="shared" ref="K130:L130" si="14">SUM(K118:K129)</f>
        <v>0</v>
      </c>
      <c r="L130" s="224">
        <f t="shared" si="14"/>
        <v>0</v>
      </c>
    </row>
    <row r="131" spans="2:12" ht="11.25" customHeight="1">
      <c r="B131" s="292"/>
      <c r="C131" s="292"/>
      <c r="D131" s="292"/>
      <c r="E131" s="292"/>
      <c r="F131" s="292"/>
      <c r="G131" s="292"/>
      <c r="H131" s="292"/>
      <c r="I131" s="292"/>
      <c r="J131" s="292"/>
      <c r="K131" s="3"/>
      <c r="L131" s="3"/>
    </row>
    <row r="132" spans="2:12">
      <c r="B132" s="287"/>
      <c r="C132" s="287"/>
      <c r="D132" s="287"/>
      <c r="E132" s="287"/>
      <c r="F132" s="287"/>
      <c r="G132" s="287"/>
      <c r="H132" s="287"/>
      <c r="I132" s="287"/>
      <c r="J132" s="287"/>
      <c r="K132" s="3"/>
      <c r="L132" s="3"/>
    </row>
    <row r="134" spans="2:12" ht="11.25" customHeight="1">
      <c r="B134" s="216" t="s">
        <v>0</v>
      </c>
      <c r="C134" s="226"/>
      <c r="G134" s="216" t="s">
        <v>489</v>
      </c>
      <c r="H134" s="288" t="s">
        <v>510</v>
      </c>
      <c r="I134" s="289"/>
      <c r="J134" s="290"/>
    </row>
    <row r="135" spans="2:12" ht="29.25" customHeight="1">
      <c r="B135" s="218" t="s">
        <v>51</v>
      </c>
      <c r="C135" s="291" t="s">
        <v>510</v>
      </c>
      <c r="D135" s="279"/>
      <c r="E135" s="279"/>
      <c r="F135" s="279"/>
      <c r="G135" s="279"/>
      <c r="H135" s="279"/>
      <c r="I135" s="279"/>
      <c r="J135" s="280"/>
      <c r="K135" s="219"/>
      <c r="L135" s="219"/>
    </row>
    <row r="136" spans="2:1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>
      <c r="B137" s="281" t="s">
        <v>490</v>
      </c>
      <c r="C137" s="283">
        <v>2014</v>
      </c>
      <c r="D137" s="284"/>
      <c r="E137" s="283">
        <v>2015</v>
      </c>
      <c r="F137" s="284"/>
      <c r="G137" s="283">
        <v>2016</v>
      </c>
      <c r="H137" s="284"/>
      <c r="I137" s="283">
        <v>2017</v>
      </c>
      <c r="J137" s="284"/>
      <c r="K137" s="285" t="s">
        <v>491</v>
      </c>
      <c r="L137" s="286"/>
    </row>
    <row r="138" spans="2:12" ht="20.399999999999999">
      <c r="B138" s="282"/>
      <c r="C138" s="221" t="s">
        <v>492</v>
      </c>
      <c r="D138" s="221" t="s">
        <v>493</v>
      </c>
      <c r="E138" s="221" t="s">
        <v>492</v>
      </c>
      <c r="F138" s="221" t="s">
        <v>493</v>
      </c>
      <c r="G138" s="221" t="s">
        <v>492</v>
      </c>
      <c r="H138" s="221" t="s">
        <v>493</v>
      </c>
      <c r="I138" s="221" t="s">
        <v>492</v>
      </c>
      <c r="J138" s="221" t="s">
        <v>493</v>
      </c>
      <c r="K138" s="221" t="s">
        <v>494</v>
      </c>
      <c r="L138" s="221" t="s">
        <v>495</v>
      </c>
    </row>
    <row r="139" spans="2:12">
      <c r="B139" s="222" t="s">
        <v>496</v>
      </c>
      <c r="C139" s="223"/>
      <c r="D139" s="223"/>
      <c r="E139" s="223"/>
      <c r="F139" s="223"/>
      <c r="G139" s="223"/>
      <c r="H139" s="223"/>
      <c r="I139" s="223"/>
      <c r="J139" s="223"/>
      <c r="K139" s="223">
        <f>SUM(C139,E139,G139,I139)</f>
        <v>0</v>
      </c>
      <c r="L139" s="223">
        <f>SUM(D139,F139,H139,J139)</f>
        <v>0</v>
      </c>
    </row>
    <row r="140" spans="2:12">
      <c r="B140" s="222" t="s">
        <v>497</v>
      </c>
      <c r="C140" s="223"/>
      <c r="D140" s="223"/>
      <c r="E140" s="223"/>
      <c r="F140" s="223"/>
      <c r="G140" s="223"/>
      <c r="H140" s="223"/>
      <c r="I140" s="223"/>
      <c r="J140" s="223"/>
      <c r="K140" s="223">
        <f t="shared" ref="K140:L150" si="15">SUM(C140,E140,G140,I140)</f>
        <v>0</v>
      </c>
      <c r="L140" s="223">
        <f t="shared" si="15"/>
        <v>0</v>
      </c>
    </row>
    <row r="141" spans="2:12">
      <c r="B141" s="222" t="s">
        <v>498</v>
      </c>
      <c r="C141" s="223"/>
      <c r="D141" s="223"/>
      <c r="E141" s="223"/>
      <c r="F141" s="223"/>
      <c r="G141" s="223"/>
      <c r="H141" s="223"/>
      <c r="I141" s="223"/>
      <c r="J141" s="223"/>
      <c r="K141" s="223">
        <f t="shared" si="15"/>
        <v>0</v>
      </c>
      <c r="L141" s="223">
        <f t="shared" si="15"/>
        <v>0</v>
      </c>
    </row>
    <row r="142" spans="2:12">
      <c r="B142" s="222" t="s">
        <v>499</v>
      </c>
      <c r="C142" s="223"/>
      <c r="D142" s="223"/>
      <c r="E142" s="223"/>
      <c r="F142" s="223"/>
      <c r="G142" s="223"/>
      <c r="H142" s="223"/>
      <c r="I142" s="223"/>
      <c r="J142" s="223"/>
      <c r="K142" s="223">
        <f t="shared" si="15"/>
        <v>0</v>
      </c>
      <c r="L142" s="223">
        <f t="shared" si="15"/>
        <v>0</v>
      </c>
    </row>
    <row r="143" spans="2:12">
      <c r="B143" s="222" t="s">
        <v>500</v>
      </c>
      <c r="C143" s="223"/>
      <c r="D143" s="223"/>
      <c r="E143" s="223"/>
      <c r="F143" s="223"/>
      <c r="G143" s="223"/>
      <c r="H143" s="223"/>
      <c r="I143" s="223"/>
      <c r="J143" s="223"/>
      <c r="K143" s="223">
        <f t="shared" si="15"/>
        <v>0</v>
      </c>
      <c r="L143" s="223">
        <f t="shared" si="15"/>
        <v>0</v>
      </c>
    </row>
    <row r="144" spans="2:12">
      <c r="B144" s="222" t="s">
        <v>501</v>
      </c>
      <c r="C144" s="223"/>
      <c r="D144" s="223"/>
      <c r="E144" s="223"/>
      <c r="F144" s="223"/>
      <c r="G144" s="223"/>
      <c r="H144" s="223"/>
      <c r="I144" s="223"/>
      <c r="J144" s="223"/>
      <c r="K144" s="223">
        <f t="shared" si="15"/>
        <v>0</v>
      </c>
      <c r="L144" s="223">
        <f t="shared" si="15"/>
        <v>0</v>
      </c>
    </row>
    <row r="145" spans="2:12">
      <c r="B145" s="222" t="s">
        <v>502</v>
      </c>
      <c r="C145" s="223"/>
      <c r="D145" s="223"/>
      <c r="E145" s="223"/>
      <c r="F145" s="223"/>
      <c r="G145" s="223"/>
      <c r="H145" s="223"/>
      <c r="I145" s="223"/>
      <c r="J145" s="223"/>
      <c r="K145" s="223">
        <f t="shared" si="15"/>
        <v>0</v>
      </c>
      <c r="L145" s="223">
        <f t="shared" si="15"/>
        <v>0</v>
      </c>
    </row>
    <row r="146" spans="2:12">
      <c r="B146" s="222" t="s">
        <v>503</v>
      </c>
      <c r="C146" s="223"/>
      <c r="D146" s="223"/>
      <c r="E146" s="223"/>
      <c r="F146" s="223"/>
      <c r="G146" s="223"/>
      <c r="H146" s="223"/>
      <c r="I146" s="223"/>
      <c r="J146" s="223"/>
      <c r="K146" s="223">
        <f t="shared" si="15"/>
        <v>0</v>
      </c>
      <c r="L146" s="223">
        <f t="shared" si="15"/>
        <v>0</v>
      </c>
    </row>
    <row r="147" spans="2:12">
      <c r="B147" s="222" t="s">
        <v>504</v>
      </c>
      <c r="C147" s="223"/>
      <c r="D147" s="223"/>
      <c r="E147" s="223"/>
      <c r="F147" s="223"/>
      <c r="G147" s="223"/>
      <c r="H147" s="223"/>
      <c r="I147" s="223"/>
      <c r="J147" s="223"/>
      <c r="K147" s="223">
        <f t="shared" si="15"/>
        <v>0</v>
      </c>
      <c r="L147" s="223">
        <f t="shared" si="15"/>
        <v>0</v>
      </c>
    </row>
    <row r="148" spans="2:12">
      <c r="B148" s="222" t="s">
        <v>505</v>
      </c>
      <c r="C148" s="223"/>
      <c r="D148" s="223"/>
      <c r="E148" s="223"/>
      <c r="F148" s="223"/>
      <c r="G148" s="223"/>
      <c r="H148" s="223"/>
      <c r="I148" s="223"/>
      <c r="J148" s="223"/>
      <c r="K148" s="223">
        <f t="shared" si="15"/>
        <v>0</v>
      </c>
      <c r="L148" s="223">
        <f t="shared" si="15"/>
        <v>0</v>
      </c>
    </row>
    <row r="149" spans="2:12">
      <c r="B149" s="222" t="s">
        <v>506</v>
      </c>
      <c r="C149" s="223"/>
      <c r="D149" s="223"/>
      <c r="E149" s="223"/>
      <c r="F149" s="223"/>
      <c r="G149" s="223"/>
      <c r="H149" s="223"/>
      <c r="I149" s="223"/>
      <c r="J149" s="223"/>
      <c r="K149" s="223">
        <f t="shared" si="15"/>
        <v>0</v>
      </c>
      <c r="L149" s="223">
        <f t="shared" si="15"/>
        <v>0</v>
      </c>
    </row>
    <row r="150" spans="2:12">
      <c r="B150" s="222" t="s">
        <v>507</v>
      </c>
      <c r="C150" s="223"/>
      <c r="D150" s="223"/>
      <c r="E150" s="223"/>
      <c r="F150" s="223"/>
      <c r="G150" s="223"/>
      <c r="H150" s="223"/>
      <c r="I150" s="223"/>
      <c r="J150" s="223"/>
      <c r="K150" s="223">
        <f t="shared" si="15"/>
        <v>0</v>
      </c>
      <c r="L150" s="223">
        <f t="shared" si="15"/>
        <v>0</v>
      </c>
    </row>
    <row r="151" spans="2:12">
      <c r="B151" s="224" t="s">
        <v>491</v>
      </c>
      <c r="C151" s="224">
        <f t="shared" ref="C151:L151" si="16">SUM(C139:C150)</f>
        <v>0</v>
      </c>
      <c r="D151" s="224">
        <f t="shared" si="16"/>
        <v>0</v>
      </c>
      <c r="E151" s="224">
        <f t="shared" si="16"/>
        <v>0</v>
      </c>
      <c r="F151" s="224">
        <f t="shared" si="16"/>
        <v>0</v>
      </c>
      <c r="G151" s="224">
        <f t="shared" si="16"/>
        <v>0</v>
      </c>
      <c r="H151" s="224">
        <f t="shared" si="16"/>
        <v>0</v>
      </c>
      <c r="I151" s="224">
        <f t="shared" si="16"/>
        <v>0</v>
      </c>
      <c r="J151" s="224">
        <f t="shared" si="16"/>
        <v>0</v>
      </c>
      <c r="K151" s="224">
        <f t="shared" si="16"/>
        <v>0</v>
      </c>
      <c r="L151" s="224">
        <f t="shared" si="16"/>
        <v>0</v>
      </c>
    </row>
    <row r="152" spans="2:12" ht="11.25" customHeight="1">
      <c r="B152" s="292"/>
      <c r="C152" s="292"/>
      <c r="D152" s="292"/>
      <c r="E152" s="292"/>
      <c r="F152" s="292"/>
      <c r="G152" s="292"/>
      <c r="H152" s="292"/>
      <c r="I152" s="292"/>
      <c r="J152" s="292"/>
      <c r="K152" s="3"/>
      <c r="L152" s="3"/>
    </row>
    <row r="153" spans="2:12">
      <c r="B153" s="287"/>
      <c r="C153" s="287"/>
      <c r="D153" s="287"/>
      <c r="E153" s="287"/>
      <c r="F153" s="287"/>
      <c r="G153" s="287"/>
      <c r="H153" s="287"/>
      <c r="I153" s="287"/>
      <c r="J153" s="287"/>
      <c r="K153" s="3"/>
      <c r="L153" s="3"/>
    </row>
  </sheetData>
  <mergeCells count="63">
    <mergeCell ref="K137:L137"/>
    <mergeCell ref="B152:J153"/>
    <mergeCell ref="B131:J132"/>
    <mergeCell ref="H134:J134"/>
    <mergeCell ref="C135:J135"/>
    <mergeCell ref="B137:B138"/>
    <mergeCell ref="C137:D137"/>
    <mergeCell ref="E137:F137"/>
    <mergeCell ref="G137:H137"/>
    <mergeCell ref="I137:J137"/>
    <mergeCell ref="K94:L94"/>
    <mergeCell ref="B109:J110"/>
    <mergeCell ref="H113:J113"/>
    <mergeCell ref="C114:J114"/>
    <mergeCell ref="B116:B117"/>
    <mergeCell ref="C116:D116"/>
    <mergeCell ref="E116:F116"/>
    <mergeCell ref="G116:H116"/>
    <mergeCell ref="I116:J116"/>
    <mergeCell ref="K116:L116"/>
    <mergeCell ref="B87:J88"/>
    <mergeCell ref="H91:J91"/>
    <mergeCell ref="C92:J92"/>
    <mergeCell ref="B94:B95"/>
    <mergeCell ref="C94:D94"/>
    <mergeCell ref="E94:F94"/>
    <mergeCell ref="G94:H94"/>
    <mergeCell ref="I94:J94"/>
    <mergeCell ref="K50:L50"/>
    <mergeCell ref="B65:J66"/>
    <mergeCell ref="H69:J69"/>
    <mergeCell ref="C70:J70"/>
    <mergeCell ref="B72:B73"/>
    <mergeCell ref="C72:D72"/>
    <mergeCell ref="E72:F72"/>
    <mergeCell ref="G72:H72"/>
    <mergeCell ref="I72:J72"/>
    <mergeCell ref="K72:L72"/>
    <mergeCell ref="B42:J43"/>
    <mergeCell ref="H47:J47"/>
    <mergeCell ref="C48:J48"/>
    <mergeCell ref="B50:B51"/>
    <mergeCell ref="C50:D50"/>
    <mergeCell ref="E50:F50"/>
    <mergeCell ref="G50:H50"/>
    <mergeCell ref="I50:J50"/>
    <mergeCell ref="K5:L5"/>
    <mergeCell ref="B20:J21"/>
    <mergeCell ref="H24:J24"/>
    <mergeCell ref="C25:J25"/>
    <mergeCell ref="B27:B28"/>
    <mergeCell ref="C27:D27"/>
    <mergeCell ref="E27:F27"/>
    <mergeCell ref="G27:H27"/>
    <mergeCell ref="I27:J27"/>
    <mergeCell ref="K27:L27"/>
    <mergeCell ref="H2:J2"/>
    <mergeCell ref="C3:J3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:AX202"/>
  <sheetViews>
    <sheetView zoomScaleNormal="100" workbookViewId="0">
      <pane xSplit="2" ySplit="2" topLeftCell="P13" activePane="bottomRight" state="frozen"/>
      <selection activeCell="Z55" sqref="Z55:Z59"/>
      <selection pane="topRight" activeCell="Z55" sqref="Z55:Z59"/>
      <selection pane="bottomLeft" activeCell="Z55" sqref="Z55:Z59"/>
      <selection pane="bottomRight" activeCell="R1" sqref="R1:AC35"/>
    </sheetView>
  </sheetViews>
  <sheetFormatPr baseColWidth="10" defaultColWidth="11.44140625" defaultRowHeight="13.8"/>
  <cols>
    <col min="1" max="1" width="5.109375" style="25" customWidth="1"/>
    <col min="2" max="2" width="6" style="31" customWidth="1"/>
    <col min="3" max="3" width="42.33203125" style="32" customWidth="1"/>
    <col min="4" max="4" width="2.6640625" style="32" customWidth="1"/>
    <col min="5" max="5" width="49" style="25" customWidth="1"/>
    <col min="6" max="6" width="2.6640625" style="25" customWidth="1"/>
    <col min="7" max="7" width="71.6640625" style="25" customWidth="1"/>
    <col min="8" max="8" width="4.109375" style="25" customWidth="1"/>
    <col min="9" max="12" width="11.44140625" style="27" hidden="1" customWidth="1"/>
    <col min="13" max="13" width="19.109375" style="27" hidden="1" customWidth="1"/>
    <col min="14" max="14" width="63.88671875" style="25" customWidth="1"/>
    <col min="15" max="15" width="1.5546875" style="25" customWidth="1"/>
    <col min="16" max="16" width="56.6640625" style="25" customWidth="1"/>
    <col min="17" max="17" width="3.88671875" style="25" customWidth="1"/>
    <col min="18" max="18" width="17.33203125" style="25" bestFit="1" customWidth="1"/>
    <col min="19" max="19" width="12.109375" style="25" bestFit="1" customWidth="1"/>
    <col min="20" max="20" width="11.44140625" style="25"/>
    <col min="21" max="21" width="2.5546875" style="25" customWidth="1"/>
    <col min="22" max="22" width="4.109375" style="25" customWidth="1"/>
    <col min="23" max="23" width="10.6640625" style="25" customWidth="1"/>
    <col min="24" max="24" width="7.109375" style="25" customWidth="1"/>
    <col min="25" max="29" width="12.5546875" style="25" customWidth="1"/>
    <col min="30" max="30" width="12.109375" style="25" bestFit="1" customWidth="1"/>
    <col min="31" max="32" width="11.44140625" style="25"/>
    <col min="33" max="33" width="2.88671875" style="25" customWidth="1"/>
    <col min="34" max="34" width="20.88671875" style="25" customWidth="1"/>
    <col min="35" max="35" width="11.44140625" style="25"/>
    <col min="36" max="36" width="2.88671875" style="25" customWidth="1"/>
    <col min="37" max="37" width="13.33203125" style="25" customWidth="1"/>
    <col min="38" max="38" width="11.44140625" style="25"/>
    <col min="39" max="39" width="2.88671875" style="25" customWidth="1"/>
    <col min="40" max="40" width="20.5546875" style="25" customWidth="1"/>
    <col min="41" max="41" width="11.44140625" style="25"/>
    <col min="42" max="42" width="2.88671875" style="25" customWidth="1"/>
    <col min="43" max="43" width="28.88671875" style="25" customWidth="1"/>
    <col min="44" max="44" width="11.44140625" style="25"/>
    <col min="45" max="45" width="4.5546875" style="25" customWidth="1"/>
    <col min="46" max="48" width="11.44140625" style="25"/>
    <col min="49" max="49" width="12.5546875" style="25" bestFit="1" customWidth="1"/>
    <col min="50" max="16384" width="11.44140625" style="25"/>
  </cols>
  <sheetData>
    <row r="1" spans="2:50" s="13" customFormat="1">
      <c r="B1" s="296" t="s">
        <v>349</v>
      </c>
      <c r="C1" s="296"/>
      <c r="D1" s="296"/>
      <c r="E1" s="296"/>
      <c r="F1" s="296"/>
      <c r="G1" s="296"/>
      <c r="I1" s="34"/>
      <c r="J1" s="34"/>
      <c r="K1" s="34"/>
      <c r="L1" s="34"/>
      <c r="M1" s="35"/>
      <c r="N1" s="296" t="s">
        <v>346</v>
      </c>
      <c r="O1" s="296"/>
      <c r="P1" s="296"/>
      <c r="R1" s="297" t="s">
        <v>351</v>
      </c>
      <c r="S1" s="297"/>
      <c r="T1" s="297"/>
    </row>
    <row r="2" spans="2:50" s="12" customFormat="1" ht="60.75" customHeight="1">
      <c r="B2" s="16" t="s">
        <v>65</v>
      </c>
      <c r="C2" s="17" t="s">
        <v>1</v>
      </c>
      <c r="D2" s="18"/>
      <c r="E2" s="16" t="s">
        <v>2</v>
      </c>
      <c r="F2" s="19"/>
      <c r="G2" s="16" t="s">
        <v>3</v>
      </c>
      <c r="I2" s="14" t="s">
        <v>66</v>
      </c>
      <c r="J2" s="14" t="s">
        <v>1</v>
      </c>
      <c r="K2" s="14" t="s">
        <v>2</v>
      </c>
      <c r="L2" s="14" t="s">
        <v>67</v>
      </c>
      <c r="M2" s="15"/>
      <c r="N2" s="16" t="s">
        <v>347</v>
      </c>
      <c r="P2" s="37" t="s">
        <v>348</v>
      </c>
      <c r="R2" s="37" t="s">
        <v>45</v>
      </c>
      <c r="S2" s="37" t="s">
        <v>352</v>
      </c>
      <c r="T2" s="37" t="s">
        <v>353</v>
      </c>
      <c r="V2" s="25"/>
      <c r="W2" s="25"/>
      <c r="X2" s="25"/>
      <c r="AE2" s="50" t="s">
        <v>34</v>
      </c>
      <c r="AF2" s="49" t="s">
        <v>369</v>
      </c>
      <c r="AH2" s="17" t="s">
        <v>35</v>
      </c>
      <c r="AI2" s="49" t="s">
        <v>369</v>
      </c>
      <c r="AK2" s="17" t="s">
        <v>370</v>
      </c>
      <c r="AL2" s="49" t="s">
        <v>369</v>
      </c>
      <c r="AN2" s="17" t="s">
        <v>371</v>
      </c>
      <c r="AO2" s="49" t="s">
        <v>369</v>
      </c>
      <c r="AQ2" s="17" t="s">
        <v>372</v>
      </c>
      <c r="AR2" s="49" t="s">
        <v>369</v>
      </c>
      <c r="AT2" s="17" t="s">
        <v>480</v>
      </c>
      <c r="AU2" s="49" t="s">
        <v>369</v>
      </c>
      <c r="AW2" s="293" t="s">
        <v>481</v>
      </c>
      <c r="AX2" s="293"/>
    </row>
    <row r="3" spans="2:50">
      <c r="B3" s="20">
        <v>1</v>
      </c>
      <c r="C3" s="21" t="s">
        <v>68</v>
      </c>
      <c r="D3" s="22"/>
      <c r="E3" s="151" t="s">
        <v>69</v>
      </c>
      <c r="F3" s="24"/>
      <c r="G3" s="23" t="s">
        <v>70</v>
      </c>
      <c r="I3" s="26" t="s">
        <v>71</v>
      </c>
      <c r="J3" s="26">
        <v>1</v>
      </c>
      <c r="K3" s="26">
        <v>1</v>
      </c>
      <c r="L3" s="26">
        <v>1</v>
      </c>
      <c r="M3" s="27" t="e">
        <f>CONCATENATE(#REF!,-L3)</f>
        <v>#REF!</v>
      </c>
      <c r="N3" s="36" t="s">
        <v>10</v>
      </c>
      <c r="P3" s="38" t="s">
        <v>10</v>
      </c>
      <c r="R3" s="36" t="s">
        <v>354</v>
      </c>
      <c r="S3" s="80">
        <v>1930000.1</v>
      </c>
      <c r="T3" s="80">
        <v>5800000</v>
      </c>
      <c r="AE3" s="23" t="s">
        <v>393</v>
      </c>
      <c r="AF3" s="23">
        <v>1</v>
      </c>
      <c r="AH3" s="30" t="s">
        <v>367</v>
      </c>
      <c r="AI3" s="23">
        <v>1</v>
      </c>
      <c r="AK3" s="30" t="s">
        <v>46</v>
      </c>
      <c r="AL3" s="23">
        <v>1</v>
      </c>
      <c r="AN3" s="30" t="s">
        <v>47</v>
      </c>
      <c r="AO3" s="23">
        <v>1</v>
      </c>
      <c r="AQ3" s="30" t="s">
        <v>476</v>
      </c>
      <c r="AR3" s="23">
        <v>1</v>
      </c>
      <c r="AT3" s="30" t="s">
        <v>373</v>
      </c>
      <c r="AU3" s="23">
        <v>1</v>
      </c>
      <c r="AW3" s="208" t="s">
        <v>482</v>
      </c>
      <c r="AX3" s="209">
        <v>0.2999</v>
      </c>
    </row>
    <row r="4" spans="2:50">
      <c r="B4" s="20">
        <v>2</v>
      </c>
      <c r="C4" s="21" t="s">
        <v>78</v>
      </c>
      <c r="D4" s="22"/>
      <c r="E4" s="151" t="s">
        <v>72</v>
      </c>
      <c r="F4" s="24"/>
      <c r="G4" s="23" t="s">
        <v>73</v>
      </c>
      <c r="I4" s="26" t="s">
        <v>71</v>
      </c>
      <c r="J4" s="26">
        <v>1</v>
      </c>
      <c r="K4" s="26">
        <v>2</v>
      </c>
      <c r="L4" s="26">
        <v>1</v>
      </c>
      <c r="M4" s="27" t="e">
        <f>CONCATENATE(#REF!,-L4)</f>
        <v>#REF!</v>
      </c>
      <c r="N4" s="36" t="s">
        <v>26</v>
      </c>
      <c r="P4" s="39" t="s">
        <v>327</v>
      </c>
      <c r="R4" s="36" t="s">
        <v>355</v>
      </c>
      <c r="S4" s="80">
        <v>640000.1</v>
      </c>
      <c r="T4" s="80">
        <v>1930000</v>
      </c>
      <c r="AE4" s="23" t="s">
        <v>365</v>
      </c>
      <c r="AF4" s="23">
        <v>0.7</v>
      </c>
      <c r="AH4" s="30" t="s">
        <v>368</v>
      </c>
      <c r="AI4" s="23">
        <v>0.7</v>
      </c>
      <c r="AK4" s="30" t="s">
        <v>43</v>
      </c>
      <c r="AL4" s="23">
        <v>0.5</v>
      </c>
      <c r="AN4" s="30" t="s">
        <v>44</v>
      </c>
      <c r="AO4" s="23">
        <v>0.5</v>
      </c>
      <c r="AQ4" s="30" t="s">
        <v>477</v>
      </c>
      <c r="AR4" s="23">
        <v>0.7</v>
      </c>
      <c r="AT4" s="30" t="s">
        <v>374</v>
      </c>
      <c r="AU4" s="23">
        <v>0</v>
      </c>
      <c r="AW4" s="208" t="s">
        <v>356</v>
      </c>
      <c r="AX4" s="209">
        <v>0.59989999999999999</v>
      </c>
    </row>
    <row r="5" spans="2:50">
      <c r="B5" s="20">
        <v>3</v>
      </c>
      <c r="C5" s="21" t="s">
        <v>81</v>
      </c>
      <c r="D5" s="22"/>
      <c r="E5" s="151" t="s">
        <v>79</v>
      </c>
      <c r="F5" s="24"/>
      <c r="G5" s="23" t="s">
        <v>74</v>
      </c>
      <c r="I5" s="26" t="s">
        <v>71</v>
      </c>
      <c r="J5" s="26">
        <v>1</v>
      </c>
      <c r="K5" s="26">
        <v>2</v>
      </c>
      <c r="L5" s="26">
        <v>2</v>
      </c>
      <c r="M5" s="27" t="e">
        <f>CONCATENATE(#REF!,-L5)</f>
        <v>#REF!</v>
      </c>
      <c r="N5" s="36" t="s">
        <v>329</v>
      </c>
      <c r="P5" s="39" t="s">
        <v>11</v>
      </c>
      <c r="R5" s="36" t="s">
        <v>356</v>
      </c>
      <c r="S5" s="80">
        <v>210000.1</v>
      </c>
      <c r="T5" s="80">
        <v>640000</v>
      </c>
      <c r="AE5" s="23" t="s">
        <v>366</v>
      </c>
      <c r="AF5" s="23">
        <v>0.3</v>
      </c>
      <c r="AH5" s="30" t="s">
        <v>42</v>
      </c>
      <c r="AI5" s="23">
        <v>0.3</v>
      </c>
      <c r="AN5" s="30"/>
      <c r="AO5" s="23"/>
      <c r="AQ5" s="30" t="s">
        <v>478</v>
      </c>
      <c r="AR5" s="23">
        <v>0.3</v>
      </c>
      <c r="AW5" s="208" t="s">
        <v>483</v>
      </c>
      <c r="AX5" s="209">
        <v>0.89990000000000003</v>
      </c>
    </row>
    <row r="6" spans="2:50">
      <c r="B6" s="20">
        <v>4</v>
      </c>
      <c r="C6" s="21" t="s">
        <v>93</v>
      </c>
      <c r="D6" s="22"/>
      <c r="E6" s="151" t="s">
        <v>82</v>
      </c>
      <c r="F6" s="24"/>
      <c r="G6" s="23" t="s">
        <v>75</v>
      </c>
      <c r="I6" s="26" t="s">
        <v>71</v>
      </c>
      <c r="J6" s="26">
        <v>1</v>
      </c>
      <c r="K6" s="26">
        <v>2</v>
      </c>
      <c r="L6" s="26">
        <v>3</v>
      </c>
      <c r="M6" s="27" t="e">
        <f>CONCATENATE(#REF!,-L6)</f>
        <v>#REF!</v>
      </c>
      <c r="N6" s="36" t="s">
        <v>28</v>
      </c>
      <c r="P6" s="38" t="s">
        <v>26</v>
      </c>
      <c r="R6" s="36" t="s">
        <v>15</v>
      </c>
      <c r="S6" s="80">
        <v>70000.100000000006</v>
      </c>
      <c r="T6" s="80">
        <v>210000</v>
      </c>
      <c r="AW6" s="208" t="s">
        <v>484</v>
      </c>
      <c r="AX6" s="210">
        <v>1</v>
      </c>
    </row>
    <row r="7" spans="2:50">
      <c r="B7" s="20">
        <v>5</v>
      </c>
      <c r="C7" s="21" t="s">
        <v>107</v>
      </c>
      <c r="D7" s="22"/>
      <c r="E7" s="151" t="s">
        <v>87</v>
      </c>
      <c r="F7" s="24"/>
      <c r="G7" s="23" t="s">
        <v>76</v>
      </c>
      <c r="I7" s="26" t="s">
        <v>71</v>
      </c>
      <c r="J7" s="26">
        <v>1</v>
      </c>
      <c r="K7" s="26">
        <v>2</v>
      </c>
      <c r="L7" s="26">
        <v>4</v>
      </c>
      <c r="M7" s="27" t="e">
        <f>CONCATENATE(#REF!,-L7)</f>
        <v>#REF!</v>
      </c>
      <c r="N7" s="36" t="s">
        <v>337</v>
      </c>
      <c r="P7" s="39" t="s">
        <v>11</v>
      </c>
      <c r="R7" s="36" t="s">
        <v>13</v>
      </c>
      <c r="S7" s="64">
        <v>0</v>
      </c>
      <c r="T7" s="80">
        <v>70000</v>
      </c>
    </row>
    <row r="8" spans="2:50">
      <c r="B8" s="20">
        <v>6</v>
      </c>
      <c r="C8" s="21" t="s">
        <v>115</v>
      </c>
      <c r="D8" s="22"/>
      <c r="E8" s="151" t="s">
        <v>94</v>
      </c>
      <c r="F8" s="24"/>
      <c r="G8" s="23" t="s">
        <v>77</v>
      </c>
      <c r="I8" s="26" t="s">
        <v>71</v>
      </c>
      <c r="J8" s="26">
        <v>1</v>
      </c>
      <c r="K8" s="26">
        <v>2</v>
      </c>
      <c r="L8" s="26">
        <v>5</v>
      </c>
      <c r="M8" s="27" t="e">
        <f>CONCATENATE(#REF!,-L8)</f>
        <v>#REF!</v>
      </c>
      <c r="N8" s="36" t="s">
        <v>339</v>
      </c>
      <c r="P8" s="39" t="s">
        <v>328</v>
      </c>
      <c r="AE8" s="22"/>
      <c r="AF8" s="22"/>
    </row>
    <row r="9" spans="2:50">
      <c r="B9" s="20">
        <v>7</v>
      </c>
      <c r="C9" s="21" t="s">
        <v>160</v>
      </c>
      <c r="D9" s="22"/>
      <c r="E9" s="151" t="s">
        <v>99</v>
      </c>
      <c r="F9" s="24"/>
      <c r="G9" s="23" t="s">
        <v>80</v>
      </c>
      <c r="I9" s="26" t="s">
        <v>71</v>
      </c>
      <c r="J9" s="26">
        <v>2</v>
      </c>
      <c r="K9" s="26">
        <v>1</v>
      </c>
      <c r="L9" s="26">
        <v>1</v>
      </c>
      <c r="M9" s="27" t="e">
        <f>CONCATENATE(#REF!,-L9)</f>
        <v>#REF!</v>
      </c>
      <c r="N9" s="36" t="s">
        <v>18</v>
      </c>
      <c r="P9" s="38" t="s">
        <v>329</v>
      </c>
      <c r="R9" s="37" t="s">
        <v>399</v>
      </c>
      <c r="S9" s="37" t="s">
        <v>396</v>
      </c>
      <c r="T9" s="37" t="s">
        <v>397</v>
      </c>
    </row>
    <row r="10" spans="2:50">
      <c r="B10" s="20">
        <v>8</v>
      </c>
      <c r="C10" s="21" t="s">
        <v>177</v>
      </c>
      <c r="D10" s="22"/>
      <c r="E10" s="151" t="s">
        <v>104</v>
      </c>
      <c r="F10" s="24"/>
      <c r="G10" s="23" t="s">
        <v>83</v>
      </c>
      <c r="I10" s="28" t="s">
        <v>84</v>
      </c>
      <c r="J10" s="28">
        <v>1</v>
      </c>
      <c r="K10" s="28">
        <v>1</v>
      </c>
      <c r="L10" s="28">
        <v>1</v>
      </c>
      <c r="M10" s="27" t="e">
        <f>CONCATENATE(#REF!,-L10)</f>
        <v>#REF!</v>
      </c>
      <c r="P10" s="39" t="s">
        <v>330</v>
      </c>
      <c r="R10" s="64" t="s">
        <v>360</v>
      </c>
      <c r="S10" s="81">
        <v>0.33100000000000002</v>
      </c>
      <c r="T10" s="82">
        <v>1</v>
      </c>
      <c r="Y10" s="294" t="s">
        <v>357</v>
      </c>
      <c r="Z10" s="294"/>
      <c r="AA10" s="294"/>
      <c r="AB10" s="294"/>
      <c r="AC10" s="294"/>
    </row>
    <row r="11" spans="2:50">
      <c r="B11" s="20">
        <v>9</v>
      </c>
      <c r="C11" s="21" t="s">
        <v>203</v>
      </c>
      <c r="D11" s="22"/>
      <c r="E11" s="151" t="s">
        <v>108</v>
      </c>
      <c r="F11" s="24"/>
      <c r="G11" s="23" t="s">
        <v>85</v>
      </c>
      <c r="I11" s="28" t="s">
        <v>84</v>
      </c>
      <c r="J11" s="28">
        <v>1</v>
      </c>
      <c r="K11" s="28">
        <v>1</v>
      </c>
      <c r="L11" s="28">
        <v>2</v>
      </c>
      <c r="M11" s="27" t="e">
        <f>CONCATENATE(#REF!,-L11)</f>
        <v>#REF!</v>
      </c>
      <c r="P11" s="39" t="s">
        <v>331</v>
      </c>
      <c r="R11" s="64" t="s">
        <v>359</v>
      </c>
      <c r="S11" s="81">
        <v>0.111</v>
      </c>
      <c r="T11" s="82">
        <v>0.33</v>
      </c>
      <c r="Y11" s="45" t="s">
        <v>13</v>
      </c>
      <c r="Z11" s="45" t="s">
        <v>15</v>
      </c>
      <c r="AA11" s="45" t="s">
        <v>356</v>
      </c>
      <c r="AB11" s="45" t="s">
        <v>355</v>
      </c>
      <c r="AC11" s="45" t="s">
        <v>354</v>
      </c>
    </row>
    <row r="12" spans="2:50" ht="14.4">
      <c r="B12" s="20">
        <v>10</v>
      </c>
      <c r="C12" s="21" t="s">
        <v>217</v>
      </c>
      <c r="D12" s="22"/>
      <c r="E12" s="151" t="s">
        <v>112</v>
      </c>
      <c r="F12" s="24"/>
      <c r="G12" s="23" t="s">
        <v>86</v>
      </c>
      <c r="I12" s="28" t="s">
        <v>84</v>
      </c>
      <c r="J12" s="28">
        <v>1</v>
      </c>
      <c r="K12" s="28">
        <v>1</v>
      </c>
      <c r="L12" s="28">
        <v>3</v>
      </c>
      <c r="M12" s="27" t="e">
        <f>CONCATENATE(#REF!,-L12)</f>
        <v>#REF!</v>
      </c>
      <c r="P12" s="39" t="s">
        <v>332</v>
      </c>
      <c r="R12" s="64" t="s">
        <v>358</v>
      </c>
      <c r="S12" s="81">
        <v>4.1000000000000002E-2</v>
      </c>
      <c r="T12" s="82">
        <v>0.11</v>
      </c>
      <c r="X12"/>
      <c r="Y12" s="27">
        <v>1</v>
      </c>
      <c r="Z12" s="27">
        <v>2</v>
      </c>
      <c r="AA12" s="27">
        <v>3</v>
      </c>
      <c r="AB12" s="27">
        <v>4</v>
      </c>
      <c r="AC12" s="27">
        <v>5</v>
      </c>
    </row>
    <row r="13" spans="2:50" ht="12.75" customHeight="1">
      <c r="B13" s="20">
        <v>11</v>
      </c>
      <c r="C13" s="21" t="s">
        <v>235</v>
      </c>
      <c r="D13" s="22"/>
      <c r="E13" s="151" t="s">
        <v>116</v>
      </c>
      <c r="F13" s="24"/>
      <c r="G13" s="23" t="s">
        <v>88</v>
      </c>
      <c r="I13" s="28" t="s">
        <v>84</v>
      </c>
      <c r="J13" s="28">
        <v>1</v>
      </c>
      <c r="K13" s="28">
        <v>2</v>
      </c>
      <c r="L13" s="28">
        <v>1</v>
      </c>
      <c r="M13" s="27" t="e">
        <f>CONCATENATE(#REF!,-L13)</f>
        <v>#REF!</v>
      </c>
      <c r="P13" s="38" t="s">
        <v>28</v>
      </c>
      <c r="R13" s="64" t="s">
        <v>20</v>
      </c>
      <c r="S13" s="81">
        <v>1.0999999999999999E-2</v>
      </c>
      <c r="T13" s="82">
        <v>0.04</v>
      </c>
      <c r="V13" s="295" t="s">
        <v>467</v>
      </c>
      <c r="W13" s="46" t="s">
        <v>360</v>
      </c>
      <c r="X13" s="25">
        <v>1</v>
      </c>
      <c r="Y13" s="227" t="s">
        <v>361</v>
      </c>
      <c r="Z13" s="227" t="s">
        <v>361</v>
      </c>
      <c r="AA13" s="228" t="s">
        <v>364</v>
      </c>
      <c r="AB13" s="229" t="s">
        <v>362</v>
      </c>
      <c r="AC13" s="229" t="s">
        <v>362</v>
      </c>
    </row>
    <row r="14" spans="2:50">
      <c r="B14" s="20">
        <v>12</v>
      </c>
      <c r="C14" s="21" t="s">
        <v>242</v>
      </c>
      <c r="D14" s="22"/>
      <c r="E14" s="151" t="s">
        <v>325</v>
      </c>
      <c r="F14" s="24"/>
      <c r="G14" s="23" t="s">
        <v>89</v>
      </c>
      <c r="I14" s="28" t="s">
        <v>84</v>
      </c>
      <c r="J14" s="28">
        <v>1</v>
      </c>
      <c r="K14" s="28">
        <v>2</v>
      </c>
      <c r="L14" s="28">
        <v>2</v>
      </c>
      <c r="M14" s="27" t="e">
        <f>CONCATENATE(#REF!,-L14)</f>
        <v>#REF!</v>
      </c>
      <c r="P14" s="39" t="s">
        <v>333</v>
      </c>
      <c r="R14" s="64" t="s">
        <v>12</v>
      </c>
      <c r="S14" s="81">
        <v>0</v>
      </c>
      <c r="T14" s="82">
        <v>0.01</v>
      </c>
      <c r="V14" s="295"/>
      <c r="W14" s="46" t="s">
        <v>359</v>
      </c>
      <c r="X14" s="25">
        <v>2</v>
      </c>
      <c r="Y14" s="230" t="s">
        <v>363</v>
      </c>
      <c r="Z14" s="227" t="s">
        <v>361</v>
      </c>
      <c r="AA14" s="227" t="s">
        <v>361</v>
      </c>
      <c r="AB14" s="228" t="s">
        <v>364</v>
      </c>
      <c r="AC14" s="229" t="s">
        <v>362</v>
      </c>
    </row>
    <row r="15" spans="2:50">
      <c r="B15" s="20">
        <v>13</v>
      </c>
      <c r="C15" s="21" t="s">
        <v>7</v>
      </c>
      <c r="D15" s="22"/>
      <c r="E15" s="151" t="s">
        <v>149</v>
      </c>
      <c r="F15" s="24"/>
      <c r="G15" s="23" t="s">
        <v>90</v>
      </c>
      <c r="I15" s="28" t="s">
        <v>84</v>
      </c>
      <c r="J15" s="28">
        <v>1</v>
      </c>
      <c r="K15" s="28">
        <v>2</v>
      </c>
      <c r="L15" s="28">
        <v>3</v>
      </c>
      <c r="M15" s="27" t="e">
        <f>CONCATENATE(#REF!,-L15)</f>
        <v>#REF!</v>
      </c>
      <c r="P15" s="39" t="s">
        <v>29</v>
      </c>
      <c r="V15" s="295"/>
      <c r="W15" s="46" t="s">
        <v>358</v>
      </c>
      <c r="X15" s="25">
        <v>3</v>
      </c>
      <c r="Y15" s="231" t="s">
        <v>56</v>
      </c>
      <c r="Z15" s="230" t="s">
        <v>363</v>
      </c>
      <c r="AA15" s="227" t="s">
        <v>361</v>
      </c>
      <c r="AB15" s="227" t="s">
        <v>361</v>
      </c>
      <c r="AC15" s="228" t="s">
        <v>364</v>
      </c>
    </row>
    <row r="16" spans="2:50">
      <c r="B16" s="20">
        <v>14</v>
      </c>
      <c r="C16" s="21" t="s">
        <v>274</v>
      </c>
      <c r="D16" s="22"/>
      <c r="E16" s="151" t="s">
        <v>155</v>
      </c>
      <c r="F16" s="24"/>
      <c r="G16" s="23" t="s">
        <v>91</v>
      </c>
      <c r="I16" s="28" t="s">
        <v>84</v>
      </c>
      <c r="J16" s="28">
        <v>1</v>
      </c>
      <c r="K16" s="28">
        <v>2</v>
      </c>
      <c r="L16" s="28">
        <v>4</v>
      </c>
      <c r="M16" s="27" t="e">
        <f>CONCATENATE(#REF!,-L16)</f>
        <v>#REF!</v>
      </c>
      <c r="P16" s="39" t="s">
        <v>334</v>
      </c>
      <c r="V16" s="295"/>
      <c r="W16" s="46" t="s">
        <v>20</v>
      </c>
      <c r="X16" s="25">
        <v>4</v>
      </c>
      <c r="Y16" s="231" t="s">
        <v>56</v>
      </c>
      <c r="Z16" s="230" t="s">
        <v>363</v>
      </c>
      <c r="AA16" s="230" t="s">
        <v>363</v>
      </c>
      <c r="AB16" s="227" t="s">
        <v>361</v>
      </c>
      <c r="AC16" s="227" t="s">
        <v>361</v>
      </c>
    </row>
    <row r="17" spans="2:29">
      <c r="B17" s="20">
        <v>15</v>
      </c>
      <c r="C17" s="21" t="s">
        <v>286</v>
      </c>
      <c r="D17" s="22"/>
      <c r="E17" s="151" t="s">
        <v>158</v>
      </c>
      <c r="F17" s="24"/>
      <c r="G17" s="23" t="s">
        <v>92</v>
      </c>
      <c r="I17" s="28" t="s">
        <v>84</v>
      </c>
      <c r="J17" s="28">
        <v>1</v>
      </c>
      <c r="K17" s="28">
        <v>2</v>
      </c>
      <c r="L17" s="28">
        <v>5</v>
      </c>
      <c r="M17" s="27" t="e">
        <f>CONCATENATE(#REF!,-L17)</f>
        <v>#REF!</v>
      </c>
      <c r="P17" s="39" t="s">
        <v>335</v>
      </c>
      <c r="V17" s="295"/>
      <c r="W17" s="46" t="s">
        <v>12</v>
      </c>
      <c r="X17" s="25">
        <v>5</v>
      </c>
      <c r="Y17" s="231" t="s">
        <v>56</v>
      </c>
      <c r="Z17" s="231" t="s">
        <v>56</v>
      </c>
      <c r="AA17" s="231" t="s">
        <v>56</v>
      </c>
      <c r="AB17" s="230" t="s">
        <v>363</v>
      </c>
      <c r="AC17" s="230" t="s">
        <v>363</v>
      </c>
    </row>
    <row r="18" spans="2:29">
      <c r="B18" s="20">
        <v>16</v>
      </c>
      <c r="C18" s="21" t="s">
        <v>299</v>
      </c>
      <c r="D18" s="22"/>
      <c r="E18" s="151" t="s">
        <v>161</v>
      </c>
      <c r="F18" s="24"/>
      <c r="G18" s="23" t="s">
        <v>95</v>
      </c>
      <c r="I18" s="28" t="s">
        <v>84</v>
      </c>
      <c r="J18" s="28">
        <v>2</v>
      </c>
      <c r="K18" s="28">
        <v>1</v>
      </c>
      <c r="L18" s="28">
        <v>1</v>
      </c>
      <c r="M18" s="27" t="e">
        <f>CONCATENATE(#REF!,-L18)</f>
        <v>#REF!</v>
      </c>
      <c r="P18" s="39" t="s">
        <v>336</v>
      </c>
    </row>
    <row r="19" spans="2:29">
      <c r="B19" s="20">
        <v>17</v>
      </c>
      <c r="C19" s="21" t="s">
        <v>318</v>
      </c>
      <c r="D19" s="22"/>
      <c r="E19" s="151" t="s">
        <v>167</v>
      </c>
      <c r="F19" s="24"/>
      <c r="G19" s="23" t="s">
        <v>96</v>
      </c>
      <c r="I19" s="28" t="s">
        <v>84</v>
      </c>
      <c r="J19" s="28">
        <v>2</v>
      </c>
      <c r="K19" s="28">
        <v>1</v>
      </c>
      <c r="L19" s="28">
        <v>2</v>
      </c>
      <c r="M19" s="27" t="e">
        <f>CONCATENATE(#REF!,-L19)</f>
        <v>#REF!</v>
      </c>
      <c r="P19" s="38" t="s">
        <v>337</v>
      </c>
    </row>
    <row r="20" spans="2:29" ht="27.6">
      <c r="B20" s="22"/>
      <c r="C20" s="22"/>
      <c r="D20" s="22"/>
      <c r="E20" s="151" t="s">
        <v>172</v>
      </c>
      <c r="F20" s="24"/>
      <c r="G20" s="23" t="s">
        <v>97</v>
      </c>
      <c r="I20" s="28" t="s">
        <v>84</v>
      </c>
      <c r="J20" s="28">
        <v>2</v>
      </c>
      <c r="K20" s="28">
        <v>1</v>
      </c>
      <c r="L20" s="28">
        <v>3</v>
      </c>
      <c r="M20" s="27" t="e">
        <f>CONCATENATE(#REF!,-L20)</f>
        <v>#REF!</v>
      </c>
      <c r="P20" s="39" t="s">
        <v>338</v>
      </c>
      <c r="R20" s="37" t="s">
        <v>468</v>
      </c>
      <c r="S20" s="37" t="s">
        <v>508</v>
      </c>
      <c r="T20" s="37" t="s">
        <v>509</v>
      </c>
    </row>
    <row r="21" spans="2:29">
      <c r="B21" s="22"/>
      <c r="C21" s="155"/>
      <c r="D21" s="22"/>
      <c r="E21" s="151" t="s">
        <v>175</v>
      </c>
      <c r="F21" s="24"/>
      <c r="G21" s="23" t="s">
        <v>98</v>
      </c>
      <c r="I21" s="28" t="s">
        <v>84</v>
      </c>
      <c r="J21" s="28">
        <v>2</v>
      </c>
      <c r="K21" s="28">
        <v>1</v>
      </c>
      <c r="L21" s="28">
        <v>4</v>
      </c>
      <c r="M21" s="27" t="e">
        <f>CONCATENATE(#REF!,-L21)</f>
        <v>#REF!</v>
      </c>
      <c r="P21" s="38" t="s">
        <v>339</v>
      </c>
      <c r="R21" s="59" t="s">
        <v>56</v>
      </c>
      <c r="S21" s="80">
        <v>640000.1</v>
      </c>
      <c r="T21" s="80">
        <v>5800000</v>
      </c>
    </row>
    <row r="22" spans="2:29">
      <c r="B22" s="22"/>
      <c r="C22" s="22"/>
      <c r="D22" s="22"/>
      <c r="E22" s="151" t="s">
        <v>178</v>
      </c>
      <c r="F22" s="24"/>
      <c r="G22" s="23" t="s">
        <v>100</v>
      </c>
      <c r="I22" s="28" t="s">
        <v>84</v>
      </c>
      <c r="J22" s="28">
        <v>2</v>
      </c>
      <c r="K22" s="28">
        <v>2</v>
      </c>
      <c r="L22" s="28">
        <v>1</v>
      </c>
      <c r="M22" s="27" t="e">
        <f>CONCATENATE(#REF!,-L22)</f>
        <v>#REF!</v>
      </c>
      <c r="P22" s="39" t="s">
        <v>340</v>
      </c>
      <c r="R22" s="61" t="s">
        <v>363</v>
      </c>
      <c r="S22" s="80">
        <v>232000.1</v>
      </c>
      <c r="T22" s="80">
        <v>640000</v>
      </c>
      <c r="Y22" s="294" t="s">
        <v>357</v>
      </c>
      <c r="Z22" s="294"/>
      <c r="AA22" s="294"/>
      <c r="AB22" s="294"/>
      <c r="AC22" s="294"/>
    </row>
    <row r="23" spans="2:29">
      <c r="B23" s="22"/>
      <c r="C23" s="22"/>
      <c r="D23" s="22"/>
      <c r="E23" s="151" t="s">
        <v>185</v>
      </c>
      <c r="F23" s="24"/>
      <c r="G23" s="23" t="s">
        <v>101</v>
      </c>
      <c r="I23" s="28" t="s">
        <v>84</v>
      </c>
      <c r="J23" s="28">
        <v>2</v>
      </c>
      <c r="K23" s="28">
        <v>2</v>
      </c>
      <c r="L23" s="28">
        <v>2</v>
      </c>
      <c r="M23" s="27" t="e">
        <f>CONCATENATE(#REF!,-L23)</f>
        <v>#REF!</v>
      </c>
      <c r="P23" s="38" t="s">
        <v>18</v>
      </c>
      <c r="R23" s="60" t="s">
        <v>361</v>
      </c>
      <c r="S23" s="80">
        <v>58000.1</v>
      </c>
      <c r="T23" s="80">
        <v>232000</v>
      </c>
      <c r="Y23" s="45" t="s">
        <v>13</v>
      </c>
      <c r="Z23" s="45" t="s">
        <v>15</v>
      </c>
      <c r="AA23" s="45" t="s">
        <v>356</v>
      </c>
      <c r="AB23" s="45" t="s">
        <v>355</v>
      </c>
      <c r="AC23" s="45" t="s">
        <v>354</v>
      </c>
    </row>
    <row r="24" spans="2:29" ht="14.4">
      <c r="B24" s="22"/>
      <c r="C24" s="22"/>
      <c r="D24" s="22"/>
      <c r="E24" s="151" t="s">
        <v>187</v>
      </c>
      <c r="F24" s="24"/>
      <c r="G24" s="23" t="s">
        <v>102</v>
      </c>
      <c r="I24" s="28" t="s">
        <v>84</v>
      </c>
      <c r="J24" s="28">
        <v>2</v>
      </c>
      <c r="K24" s="28">
        <v>2</v>
      </c>
      <c r="L24" s="28">
        <v>3</v>
      </c>
      <c r="M24" s="27" t="e">
        <f>CONCATENATE(#REF!,-L24)</f>
        <v>#REF!</v>
      </c>
      <c r="P24" s="39" t="s">
        <v>19</v>
      </c>
      <c r="R24" s="63" t="s">
        <v>364</v>
      </c>
      <c r="S24" s="80">
        <v>7700.1</v>
      </c>
      <c r="T24" s="80">
        <v>58000</v>
      </c>
      <c r="X24"/>
      <c r="Y24" s="232">
        <v>70000</v>
      </c>
      <c r="Z24" s="232">
        <v>210000</v>
      </c>
      <c r="AA24" s="232">
        <v>640000</v>
      </c>
      <c r="AB24" s="232">
        <v>1930000</v>
      </c>
      <c r="AC24" s="232">
        <v>5800000</v>
      </c>
    </row>
    <row r="25" spans="2:29" ht="12.75" customHeight="1">
      <c r="B25" s="22"/>
      <c r="C25" s="22"/>
      <c r="D25" s="22"/>
      <c r="E25" s="151" t="s">
        <v>189</v>
      </c>
      <c r="F25" s="24"/>
      <c r="G25" s="23" t="s">
        <v>103</v>
      </c>
      <c r="I25" s="28" t="s">
        <v>84</v>
      </c>
      <c r="J25" s="28">
        <v>2</v>
      </c>
      <c r="K25" s="28">
        <v>2</v>
      </c>
      <c r="L25" s="28">
        <v>4</v>
      </c>
      <c r="M25" s="27" t="e">
        <f>CONCATENATE(#REF!,-L25)</f>
        <v>#REF!</v>
      </c>
      <c r="P25" s="39" t="s">
        <v>341</v>
      </c>
      <c r="R25" s="58" t="s">
        <v>362</v>
      </c>
      <c r="S25" s="64">
        <v>0</v>
      </c>
      <c r="T25" s="80">
        <v>7700</v>
      </c>
      <c r="V25" s="295" t="s">
        <v>467</v>
      </c>
      <c r="W25" s="46" t="s">
        <v>360</v>
      </c>
      <c r="X25" s="25">
        <v>1</v>
      </c>
      <c r="Y25" s="227">
        <v>70000</v>
      </c>
      <c r="Z25" s="227">
        <v>210000</v>
      </c>
      <c r="AA25" s="228">
        <v>640000</v>
      </c>
      <c r="AB25" s="229">
        <v>1930000</v>
      </c>
      <c r="AC25" s="229">
        <v>5800000</v>
      </c>
    </row>
    <row r="26" spans="2:29">
      <c r="B26" s="22"/>
      <c r="C26" s="22"/>
      <c r="D26" s="22"/>
      <c r="E26" s="151" t="s">
        <v>192</v>
      </c>
      <c r="F26" s="24"/>
      <c r="G26" s="23" t="s">
        <v>105</v>
      </c>
      <c r="I26" s="28" t="s">
        <v>84</v>
      </c>
      <c r="J26" s="28">
        <v>2</v>
      </c>
      <c r="K26" s="28">
        <v>3</v>
      </c>
      <c r="L26" s="28">
        <v>1</v>
      </c>
      <c r="M26" s="27" t="e">
        <f>CONCATENATE(#REF!,-L26)</f>
        <v>#REF!</v>
      </c>
      <c r="P26" s="39" t="s">
        <v>342</v>
      </c>
      <c r="V26" s="295"/>
      <c r="W26" s="46" t="s">
        <v>359</v>
      </c>
      <c r="X26" s="25">
        <v>0.33</v>
      </c>
      <c r="Y26" s="230">
        <v>23100</v>
      </c>
      <c r="Z26" s="227">
        <v>69300</v>
      </c>
      <c r="AA26" s="227">
        <v>211200</v>
      </c>
      <c r="AB26" s="228">
        <v>636900</v>
      </c>
      <c r="AC26" s="229">
        <v>1914000</v>
      </c>
    </row>
    <row r="27" spans="2:29">
      <c r="B27" s="22"/>
      <c r="C27" s="22"/>
      <c r="D27" s="22"/>
      <c r="E27" s="151" t="s">
        <v>195</v>
      </c>
      <c r="F27" s="24"/>
      <c r="G27" s="23" t="s">
        <v>106</v>
      </c>
      <c r="I27" s="28" t="s">
        <v>84</v>
      </c>
      <c r="J27" s="28">
        <v>2</v>
      </c>
      <c r="K27" s="28">
        <v>3</v>
      </c>
      <c r="L27" s="28">
        <v>2</v>
      </c>
      <c r="M27" s="27" t="e">
        <f>CONCATENATE(#REF!,-L27)</f>
        <v>#REF!</v>
      </c>
      <c r="P27" s="39" t="s">
        <v>343</v>
      </c>
      <c r="V27" s="295"/>
      <c r="W27" s="46" t="s">
        <v>358</v>
      </c>
      <c r="X27" s="25">
        <v>0.11</v>
      </c>
      <c r="Y27" s="231">
        <v>7700</v>
      </c>
      <c r="Z27" s="230">
        <v>23100</v>
      </c>
      <c r="AA27" s="227">
        <v>70400</v>
      </c>
      <c r="AB27" s="227">
        <v>212300</v>
      </c>
      <c r="AC27" s="228">
        <v>638000</v>
      </c>
    </row>
    <row r="28" spans="2:29">
      <c r="B28" s="22"/>
      <c r="C28" s="155"/>
      <c r="D28" s="22"/>
      <c r="E28" s="151" t="s">
        <v>199</v>
      </c>
      <c r="F28" s="24"/>
      <c r="G28" s="23" t="s">
        <v>109</v>
      </c>
      <c r="I28" s="28" t="s">
        <v>84</v>
      </c>
      <c r="J28" s="28">
        <v>3</v>
      </c>
      <c r="K28" s="28">
        <v>1</v>
      </c>
      <c r="L28" s="28">
        <v>1</v>
      </c>
      <c r="M28" s="27" t="e">
        <f>CONCATENATE(#REF!,-L28)</f>
        <v>#REF!</v>
      </c>
      <c r="P28" s="39" t="s">
        <v>344</v>
      </c>
      <c r="V28" s="295"/>
      <c r="W28" s="46" t="s">
        <v>20</v>
      </c>
      <c r="X28" s="25">
        <v>0.04</v>
      </c>
      <c r="Y28" s="231">
        <v>2800</v>
      </c>
      <c r="Z28" s="230">
        <v>8400</v>
      </c>
      <c r="AA28" s="230">
        <v>25600</v>
      </c>
      <c r="AB28" s="227">
        <v>77200</v>
      </c>
      <c r="AC28" s="227">
        <v>232000</v>
      </c>
    </row>
    <row r="29" spans="2:29">
      <c r="B29" s="22"/>
      <c r="C29" s="22"/>
      <c r="D29" s="22"/>
      <c r="E29" s="151" t="s">
        <v>202</v>
      </c>
      <c r="F29" s="24"/>
      <c r="G29" s="23" t="s">
        <v>110</v>
      </c>
      <c r="I29" s="28" t="s">
        <v>84</v>
      </c>
      <c r="J29" s="28">
        <v>3</v>
      </c>
      <c r="K29" s="28">
        <v>1</v>
      </c>
      <c r="L29" s="28">
        <v>2</v>
      </c>
      <c r="M29" s="27" t="e">
        <f>CONCATENATE(#REF!,-L29)</f>
        <v>#REF!</v>
      </c>
      <c r="P29" s="39" t="s">
        <v>345</v>
      </c>
      <c r="V29" s="295"/>
      <c r="W29" s="46" t="s">
        <v>12</v>
      </c>
      <c r="X29" s="25">
        <v>0.01</v>
      </c>
      <c r="Y29" s="231">
        <v>700</v>
      </c>
      <c r="Z29" s="231">
        <v>2100</v>
      </c>
      <c r="AA29" s="231">
        <v>6400</v>
      </c>
      <c r="AB29" s="230">
        <v>19300</v>
      </c>
      <c r="AC29" s="230">
        <v>58000</v>
      </c>
    </row>
    <row r="30" spans="2:29" ht="12.75" customHeight="1">
      <c r="B30" s="22"/>
      <c r="C30" s="22"/>
      <c r="D30" s="22"/>
      <c r="E30" s="151" t="s">
        <v>204</v>
      </c>
      <c r="F30" s="24"/>
      <c r="G30" s="23" t="s">
        <v>111</v>
      </c>
      <c r="I30" s="28" t="s">
        <v>84</v>
      </c>
      <c r="J30" s="28">
        <v>3</v>
      </c>
      <c r="K30" s="28">
        <v>1</v>
      </c>
      <c r="L30" s="28">
        <v>3</v>
      </c>
      <c r="M30" s="27" t="e">
        <f>CONCATENATE(#REF!,-L30)</f>
        <v>#REF!</v>
      </c>
      <c r="R30" s="215" t="s">
        <v>352</v>
      </c>
      <c r="S30" s="215" t="s">
        <v>488</v>
      </c>
    </row>
    <row r="31" spans="2:29">
      <c r="B31" s="22"/>
      <c r="C31" s="22"/>
      <c r="D31" s="22"/>
      <c r="E31" s="151" t="s">
        <v>206</v>
      </c>
      <c r="F31" s="24"/>
      <c r="G31" s="23" t="s">
        <v>113</v>
      </c>
      <c r="I31" s="28" t="s">
        <v>84</v>
      </c>
      <c r="J31" s="28">
        <v>3</v>
      </c>
      <c r="K31" s="28">
        <v>2</v>
      </c>
      <c r="L31" s="28">
        <v>1</v>
      </c>
      <c r="M31" s="27" t="e">
        <f>CONCATENATE(#REF!,-L31)</f>
        <v>#REF!</v>
      </c>
      <c r="R31" s="214">
        <v>5800000</v>
      </c>
      <c r="S31" s="25" t="s">
        <v>362</v>
      </c>
    </row>
    <row r="32" spans="2:29">
      <c r="B32" s="22"/>
      <c r="C32" s="154"/>
      <c r="D32" s="22"/>
      <c r="E32" s="151" t="s">
        <v>209</v>
      </c>
      <c r="F32" s="24"/>
      <c r="G32" s="23" t="s">
        <v>114</v>
      </c>
      <c r="I32" s="28" t="s">
        <v>84</v>
      </c>
      <c r="J32" s="28">
        <v>3</v>
      </c>
      <c r="K32" s="28">
        <v>2</v>
      </c>
      <c r="L32" s="28">
        <v>2</v>
      </c>
      <c r="M32" s="27" t="e">
        <f>CONCATENATE(#REF!,-L32)</f>
        <v>#REF!</v>
      </c>
      <c r="R32" s="214">
        <v>640000</v>
      </c>
      <c r="S32" s="25" t="s">
        <v>364</v>
      </c>
    </row>
    <row r="33" spans="2:19">
      <c r="B33" s="22"/>
      <c r="C33" s="22" t="s">
        <v>399</v>
      </c>
      <c r="D33" s="22"/>
      <c r="E33" s="151" t="s">
        <v>212</v>
      </c>
      <c r="F33" s="24"/>
      <c r="G33" s="23" t="s">
        <v>117</v>
      </c>
      <c r="I33" s="28" t="s">
        <v>84</v>
      </c>
      <c r="J33" s="28">
        <v>4</v>
      </c>
      <c r="K33" s="28">
        <v>1</v>
      </c>
      <c r="L33" s="28">
        <v>1</v>
      </c>
      <c r="M33" s="27" t="e">
        <f>CONCATENATE(#REF!,-L33)</f>
        <v>#REF!</v>
      </c>
      <c r="R33" s="214">
        <v>232000</v>
      </c>
      <c r="S33" s="25" t="s">
        <v>361</v>
      </c>
    </row>
    <row r="34" spans="2:19">
      <c r="B34" s="22"/>
      <c r="C34" s="32" t="s">
        <v>45</v>
      </c>
      <c r="D34" s="22"/>
      <c r="E34" s="151" t="s">
        <v>216</v>
      </c>
      <c r="F34" s="24"/>
      <c r="G34" s="23" t="s">
        <v>118</v>
      </c>
      <c r="I34" s="28" t="s">
        <v>84</v>
      </c>
      <c r="J34" s="28">
        <v>4</v>
      </c>
      <c r="K34" s="28">
        <v>1</v>
      </c>
      <c r="L34" s="28">
        <v>2</v>
      </c>
      <c r="M34" s="27" t="e">
        <f>CONCATENATE(#REF!,-L34)</f>
        <v>#REF!</v>
      </c>
      <c r="R34" s="214">
        <v>58000</v>
      </c>
      <c r="S34" s="25" t="s">
        <v>363</v>
      </c>
    </row>
    <row r="35" spans="2:19">
      <c r="B35" s="22"/>
      <c r="C35" s="32" t="s">
        <v>479</v>
      </c>
      <c r="D35" s="22"/>
      <c r="E35" s="151" t="s">
        <v>218</v>
      </c>
      <c r="F35" s="24"/>
      <c r="G35" s="23" t="s">
        <v>119</v>
      </c>
      <c r="I35" s="28" t="s">
        <v>84</v>
      </c>
      <c r="J35" s="28">
        <v>4</v>
      </c>
      <c r="K35" s="28">
        <v>1</v>
      </c>
      <c r="L35" s="28">
        <v>3</v>
      </c>
      <c r="M35" s="27" t="e">
        <f>CONCATENATE(#REF!,-L35)</f>
        <v>#REF!</v>
      </c>
      <c r="R35" s="214">
        <v>7700</v>
      </c>
      <c r="S35" s="25" t="s">
        <v>56</v>
      </c>
    </row>
    <row r="36" spans="2:19">
      <c r="B36" s="22"/>
      <c r="D36" s="22"/>
      <c r="E36" s="151" t="s">
        <v>394</v>
      </c>
      <c r="F36" s="24"/>
      <c r="G36" s="23" t="s">
        <v>120</v>
      </c>
      <c r="I36" s="28" t="s">
        <v>84</v>
      </c>
      <c r="J36" s="28">
        <v>4</v>
      </c>
      <c r="K36" s="28">
        <v>1</v>
      </c>
      <c r="L36" s="28">
        <v>4</v>
      </c>
      <c r="M36" s="27" t="e">
        <f>CONCATENATE(#REF!,-L36)</f>
        <v>#REF!</v>
      </c>
    </row>
    <row r="37" spans="2:19">
      <c r="B37" s="22"/>
      <c r="D37" s="22"/>
      <c r="E37" s="151" t="s">
        <v>231</v>
      </c>
      <c r="F37" s="24"/>
      <c r="G37" s="23" t="s">
        <v>121</v>
      </c>
      <c r="I37" s="28" t="s">
        <v>84</v>
      </c>
      <c r="J37" s="28">
        <v>4</v>
      </c>
      <c r="K37" s="28">
        <v>1</v>
      </c>
      <c r="L37" s="28">
        <v>5</v>
      </c>
      <c r="M37" s="27" t="e">
        <f>CONCATENATE(#REF!,-L37)</f>
        <v>#REF!</v>
      </c>
    </row>
    <row r="38" spans="2:19">
      <c r="B38" s="22"/>
      <c r="C38" s="17" t="s">
        <v>385</v>
      </c>
      <c r="D38" s="22"/>
      <c r="E38" s="151" t="s">
        <v>236</v>
      </c>
      <c r="F38" s="24"/>
      <c r="G38" s="23" t="s">
        <v>122</v>
      </c>
      <c r="I38" s="28" t="s">
        <v>84</v>
      </c>
      <c r="J38" s="28">
        <v>4</v>
      </c>
      <c r="K38" s="28">
        <v>1</v>
      </c>
      <c r="L38" s="28">
        <v>6</v>
      </c>
      <c r="M38" s="27" t="e">
        <f>CONCATENATE(#REF!,-L38)</f>
        <v>#REF!</v>
      </c>
    </row>
    <row r="39" spans="2:19">
      <c r="B39" s="22"/>
      <c r="C39" s="22" t="s">
        <v>379</v>
      </c>
      <c r="D39" s="22"/>
      <c r="E39" s="151" t="s">
        <v>238</v>
      </c>
      <c r="F39" s="24"/>
      <c r="G39" s="23" t="s">
        <v>123</v>
      </c>
      <c r="I39" s="28" t="s">
        <v>84</v>
      </c>
      <c r="J39" s="28">
        <v>4</v>
      </c>
      <c r="K39" s="28">
        <v>1</v>
      </c>
      <c r="L39" s="28">
        <v>7</v>
      </c>
      <c r="M39" s="27" t="e">
        <f>CONCATENATE(#REF!,-L39)</f>
        <v>#REF!</v>
      </c>
    </row>
    <row r="40" spans="2:19">
      <c r="B40" s="22"/>
      <c r="C40" s="32" t="s">
        <v>380</v>
      </c>
      <c r="D40" s="22"/>
      <c r="E40" s="23" t="s">
        <v>243</v>
      </c>
      <c r="F40" s="24"/>
      <c r="G40" s="23" t="s">
        <v>124</v>
      </c>
      <c r="I40" s="28" t="s">
        <v>84</v>
      </c>
      <c r="J40" s="28">
        <v>4</v>
      </c>
      <c r="K40" s="28">
        <v>1</v>
      </c>
      <c r="L40" s="28">
        <v>8</v>
      </c>
      <c r="M40" s="27" t="e">
        <f>CONCATENATE(#REF!,-L40)</f>
        <v>#REF!</v>
      </c>
    </row>
    <row r="41" spans="2:19">
      <c r="B41" s="22"/>
      <c r="C41" s="32" t="s">
        <v>381</v>
      </c>
      <c r="D41" s="22"/>
      <c r="E41" s="23" t="s">
        <v>247</v>
      </c>
      <c r="F41" s="24"/>
      <c r="G41" s="23" t="s">
        <v>125</v>
      </c>
      <c r="I41" s="28" t="s">
        <v>84</v>
      </c>
      <c r="J41" s="28">
        <v>4</v>
      </c>
      <c r="K41" s="28">
        <v>1</v>
      </c>
      <c r="L41" s="28">
        <v>9</v>
      </c>
      <c r="M41" s="27" t="e">
        <f>CONCATENATE(#REF!,-L41)</f>
        <v>#REF!</v>
      </c>
    </row>
    <row r="42" spans="2:19">
      <c r="B42" s="22"/>
      <c r="C42" s="32" t="s">
        <v>382</v>
      </c>
      <c r="D42" s="22"/>
      <c r="E42" s="23" t="s">
        <v>250</v>
      </c>
      <c r="F42" s="24"/>
      <c r="G42" s="23" t="s">
        <v>126</v>
      </c>
      <c r="I42" s="28" t="s">
        <v>84</v>
      </c>
      <c r="J42" s="28">
        <v>4</v>
      </c>
      <c r="K42" s="28">
        <v>1</v>
      </c>
      <c r="L42" s="28">
        <v>10</v>
      </c>
      <c r="M42" s="27" t="e">
        <f>CONCATENATE(#REF!,-L42)</f>
        <v>#REF!</v>
      </c>
    </row>
    <row r="43" spans="2:19">
      <c r="B43" s="22"/>
      <c r="C43" s="22"/>
      <c r="D43" s="22"/>
      <c r="E43" s="23" t="s">
        <v>326</v>
      </c>
      <c r="F43" s="24"/>
      <c r="G43" s="23" t="s">
        <v>127</v>
      </c>
      <c r="I43" s="28" t="s">
        <v>84</v>
      </c>
      <c r="J43" s="28">
        <v>4</v>
      </c>
      <c r="K43" s="28">
        <v>1</v>
      </c>
      <c r="L43" s="28">
        <v>11</v>
      </c>
      <c r="M43" s="27" t="e">
        <f>CONCATENATE(#REF!,-L43)</f>
        <v>#REF!</v>
      </c>
    </row>
    <row r="44" spans="2:19">
      <c r="B44" s="22"/>
      <c r="C44" s="22"/>
      <c r="D44" s="22"/>
      <c r="E44" s="23" t="s">
        <v>257</v>
      </c>
      <c r="F44" s="24"/>
      <c r="G44" s="23" t="s">
        <v>128</v>
      </c>
      <c r="I44" s="28" t="s">
        <v>84</v>
      </c>
      <c r="J44" s="28">
        <v>4</v>
      </c>
      <c r="K44" s="28">
        <v>1</v>
      </c>
      <c r="L44" s="28">
        <v>12</v>
      </c>
      <c r="M44" s="27" t="e">
        <f>CONCATENATE(#REF!,-L44)</f>
        <v>#REF!</v>
      </c>
    </row>
    <row r="45" spans="2:19">
      <c r="B45" s="22"/>
      <c r="C45" s="22"/>
      <c r="D45" s="22"/>
      <c r="E45" s="23" t="s">
        <v>8</v>
      </c>
      <c r="F45" s="24"/>
      <c r="G45" s="23" t="s">
        <v>129</v>
      </c>
      <c r="I45" s="28" t="s">
        <v>84</v>
      </c>
      <c r="J45" s="28">
        <v>4</v>
      </c>
      <c r="K45" s="28">
        <v>1</v>
      </c>
      <c r="L45" s="28">
        <v>13</v>
      </c>
      <c r="M45" s="27" t="e">
        <f>CONCATENATE(#REF!,-L45)</f>
        <v>#REF!</v>
      </c>
    </row>
    <row r="46" spans="2:19">
      <c r="B46" s="22"/>
      <c r="C46" s="17" t="s">
        <v>386</v>
      </c>
      <c r="D46" s="22"/>
      <c r="E46" s="23" t="s">
        <v>24</v>
      </c>
      <c r="F46" s="24"/>
      <c r="G46" s="23" t="s">
        <v>130</v>
      </c>
      <c r="I46" s="28" t="s">
        <v>84</v>
      </c>
      <c r="J46" s="28">
        <v>4</v>
      </c>
      <c r="K46" s="28">
        <v>1</v>
      </c>
      <c r="L46" s="28">
        <v>14</v>
      </c>
      <c r="M46" s="27" t="e">
        <f>CONCATENATE(#REF!,-L46)</f>
        <v>#REF!</v>
      </c>
    </row>
    <row r="47" spans="2:19">
      <c r="B47" s="22"/>
      <c r="C47" s="22" t="s">
        <v>387</v>
      </c>
      <c r="D47" s="22"/>
      <c r="E47" s="23" t="s">
        <v>264</v>
      </c>
      <c r="F47" s="24"/>
      <c r="G47" s="23" t="s">
        <v>131</v>
      </c>
      <c r="I47" s="28" t="s">
        <v>84</v>
      </c>
      <c r="J47" s="28">
        <v>4</v>
      </c>
      <c r="K47" s="28">
        <v>1</v>
      </c>
      <c r="L47" s="28">
        <v>15</v>
      </c>
      <c r="M47" s="27" t="e">
        <f>CONCATENATE(#REF!,-L47)</f>
        <v>#REF!</v>
      </c>
    </row>
    <row r="48" spans="2:19">
      <c r="B48" s="22"/>
      <c r="C48" s="32" t="s">
        <v>388</v>
      </c>
      <c r="D48" s="22"/>
      <c r="E48" s="23" t="s">
        <v>30</v>
      </c>
      <c r="F48" s="24"/>
      <c r="G48" s="23" t="s">
        <v>132</v>
      </c>
      <c r="I48" s="28" t="s">
        <v>84</v>
      </c>
      <c r="J48" s="28">
        <v>4</v>
      </c>
      <c r="K48" s="28">
        <v>1</v>
      </c>
      <c r="L48" s="28">
        <v>16</v>
      </c>
      <c r="M48" s="27" t="e">
        <f>CONCATENATE(#REF!,-L48)</f>
        <v>#REF!</v>
      </c>
    </row>
    <row r="49" spans="2:34">
      <c r="B49" s="22"/>
      <c r="C49" s="32" t="s">
        <v>389</v>
      </c>
      <c r="D49" s="22"/>
      <c r="E49" s="23" t="s">
        <v>16</v>
      </c>
      <c r="F49" s="24"/>
      <c r="G49" s="23" t="s">
        <v>133</v>
      </c>
      <c r="I49" s="28" t="s">
        <v>84</v>
      </c>
      <c r="J49" s="28">
        <v>4</v>
      </c>
      <c r="K49" s="28">
        <v>2</v>
      </c>
      <c r="L49" s="28">
        <v>1</v>
      </c>
      <c r="M49" s="27" t="e">
        <f>CONCATENATE(#REF!,-L49)</f>
        <v>#REF!</v>
      </c>
    </row>
    <row r="50" spans="2:34">
      <c r="B50" s="22"/>
      <c r="C50" s="32" t="s">
        <v>390</v>
      </c>
      <c r="D50" s="22"/>
      <c r="E50" s="23" t="s">
        <v>21</v>
      </c>
      <c r="F50" s="24"/>
      <c r="G50" s="23" t="s">
        <v>134</v>
      </c>
      <c r="I50" s="28" t="s">
        <v>84</v>
      </c>
      <c r="J50" s="28">
        <v>4</v>
      </c>
      <c r="K50" s="28">
        <v>2</v>
      </c>
      <c r="L50" s="28">
        <v>2</v>
      </c>
      <c r="M50" s="27" t="e">
        <f>CONCATENATE(#REF!,-L50)</f>
        <v>#REF!</v>
      </c>
    </row>
    <row r="51" spans="2:34">
      <c r="B51" s="22"/>
      <c r="C51" s="22" t="s">
        <v>391</v>
      </c>
      <c r="D51" s="22"/>
      <c r="E51" s="23" t="s">
        <v>275</v>
      </c>
      <c r="F51" s="24"/>
      <c r="G51" s="23" t="s">
        <v>135</v>
      </c>
      <c r="I51" s="28" t="s">
        <v>84</v>
      </c>
      <c r="J51" s="28">
        <v>4</v>
      </c>
      <c r="K51" s="28">
        <v>2</v>
      </c>
      <c r="L51" s="28">
        <v>3</v>
      </c>
      <c r="M51" s="27" t="e">
        <f>CONCATENATE(#REF!,-L51)</f>
        <v>#REF!</v>
      </c>
    </row>
    <row r="52" spans="2:34">
      <c r="B52" s="22"/>
      <c r="C52" s="22"/>
      <c r="D52" s="22"/>
      <c r="E52" s="23" t="s">
        <v>280</v>
      </c>
      <c r="F52" s="24"/>
      <c r="G52" s="23" t="s">
        <v>136</v>
      </c>
      <c r="I52" s="28" t="s">
        <v>84</v>
      </c>
      <c r="J52" s="28">
        <v>4</v>
      </c>
      <c r="K52" s="28">
        <v>2</v>
      </c>
      <c r="L52" s="28">
        <v>4</v>
      </c>
      <c r="M52" s="27" t="e">
        <f>CONCATENATE(#REF!,-L52)</f>
        <v>#REF!</v>
      </c>
    </row>
    <row r="53" spans="2:34">
      <c r="B53" s="22"/>
      <c r="C53" s="22"/>
      <c r="D53" s="22"/>
      <c r="E53" s="23" t="s">
        <v>287</v>
      </c>
      <c r="F53" s="24"/>
      <c r="G53" s="23" t="s">
        <v>137</v>
      </c>
      <c r="I53" s="28" t="s">
        <v>84</v>
      </c>
      <c r="J53" s="28">
        <v>4</v>
      </c>
      <c r="K53" s="28">
        <v>2</v>
      </c>
      <c r="L53" s="28">
        <v>5</v>
      </c>
      <c r="M53" s="27" t="e">
        <f>CONCATENATE(#REF!,-L53)</f>
        <v>#REF!</v>
      </c>
      <c r="Z53" s="62"/>
      <c r="AA53" s="62"/>
      <c r="AB53" s="62"/>
      <c r="AC53" s="62"/>
      <c r="AD53" s="62"/>
    </row>
    <row r="54" spans="2:34">
      <c r="B54" s="22"/>
      <c r="C54" s="17" t="s">
        <v>429</v>
      </c>
      <c r="D54" s="22"/>
      <c r="E54" s="23" t="s">
        <v>291</v>
      </c>
      <c r="F54" s="24"/>
      <c r="G54" s="23" t="s">
        <v>138</v>
      </c>
      <c r="I54" s="28" t="s">
        <v>84</v>
      </c>
      <c r="J54" s="28">
        <v>4</v>
      </c>
      <c r="K54" s="28">
        <v>2</v>
      </c>
      <c r="L54" s="28">
        <v>6</v>
      </c>
      <c r="M54" s="27" t="e">
        <f>CONCATENATE(#REF!,-L54)</f>
        <v>#REF!</v>
      </c>
      <c r="Z54" s="62"/>
      <c r="AA54" s="62"/>
      <c r="AB54" s="62"/>
      <c r="AC54" s="62"/>
      <c r="AD54" s="62"/>
      <c r="AE54" s="62"/>
      <c r="AF54" s="62"/>
      <c r="AG54" s="62"/>
      <c r="AH54" s="62"/>
    </row>
    <row r="55" spans="2:34">
      <c r="B55" s="22"/>
      <c r="C55" s="30" t="s">
        <v>430</v>
      </c>
      <c r="D55" s="22"/>
      <c r="E55" s="23" t="s">
        <v>295</v>
      </c>
      <c r="F55" s="24"/>
      <c r="G55" s="23" t="s">
        <v>139</v>
      </c>
      <c r="I55" s="28" t="s">
        <v>84</v>
      </c>
      <c r="J55" s="28">
        <v>4</v>
      </c>
      <c r="K55" s="28">
        <v>2</v>
      </c>
      <c r="L55" s="28">
        <v>7</v>
      </c>
      <c r="M55" s="27" t="e">
        <f>CONCATENATE(#REF!,-L55)</f>
        <v>#REF!</v>
      </c>
      <c r="Z55" s="62"/>
      <c r="AA55" s="62"/>
      <c r="AB55" s="62"/>
      <c r="AC55" s="62"/>
      <c r="AD55" s="62"/>
      <c r="AE55" s="62"/>
      <c r="AF55" s="62"/>
      <c r="AG55" s="62"/>
      <c r="AH55" s="62"/>
    </row>
    <row r="56" spans="2:34">
      <c r="B56" s="22"/>
      <c r="C56" s="30" t="s">
        <v>431</v>
      </c>
      <c r="D56" s="22"/>
      <c r="E56" s="23" t="s">
        <v>297</v>
      </c>
      <c r="F56" s="24"/>
      <c r="G56" s="23" t="s">
        <v>140</v>
      </c>
      <c r="I56" s="28" t="s">
        <v>84</v>
      </c>
      <c r="J56" s="28">
        <v>4</v>
      </c>
      <c r="K56" s="28">
        <v>2</v>
      </c>
      <c r="L56" s="28">
        <v>8</v>
      </c>
      <c r="M56" s="27" t="e">
        <f>CONCATENATE(#REF!,-L56)</f>
        <v>#REF!</v>
      </c>
      <c r="Z56" s="62"/>
      <c r="AA56" s="62"/>
      <c r="AB56" s="62"/>
      <c r="AC56" s="62"/>
      <c r="AD56" s="62"/>
      <c r="AE56" s="62"/>
      <c r="AF56" s="62"/>
      <c r="AG56" s="62"/>
      <c r="AH56" s="62"/>
    </row>
    <row r="57" spans="2:34">
      <c r="B57" s="22"/>
      <c r="C57" s="30" t="s">
        <v>432</v>
      </c>
      <c r="D57" s="22"/>
      <c r="E57" s="23" t="s">
        <v>300</v>
      </c>
      <c r="F57" s="24"/>
      <c r="G57" s="23" t="s">
        <v>141</v>
      </c>
      <c r="I57" s="28" t="s">
        <v>84</v>
      </c>
      <c r="J57" s="28">
        <v>4</v>
      </c>
      <c r="K57" s="28">
        <v>2</v>
      </c>
      <c r="L57" s="28">
        <v>9</v>
      </c>
      <c r="M57" s="27" t="e">
        <f>CONCATENATE(#REF!,-L57)</f>
        <v>#REF!</v>
      </c>
      <c r="Z57" s="62"/>
      <c r="AA57" s="62"/>
      <c r="AB57" s="62"/>
      <c r="AC57" s="62"/>
      <c r="AD57" s="62"/>
      <c r="AE57" s="62"/>
      <c r="AF57" s="62"/>
      <c r="AG57" s="62"/>
      <c r="AH57" s="62"/>
    </row>
    <row r="58" spans="2:34">
      <c r="B58" s="22"/>
      <c r="C58" s="30" t="s">
        <v>433</v>
      </c>
      <c r="D58" s="22"/>
      <c r="E58" s="23" t="s">
        <v>309</v>
      </c>
      <c r="F58" s="24"/>
      <c r="G58" s="23" t="s">
        <v>142</v>
      </c>
      <c r="I58" s="28" t="s">
        <v>84</v>
      </c>
      <c r="J58" s="28">
        <v>4</v>
      </c>
      <c r="K58" s="28">
        <v>2</v>
      </c>
      <c r="L58" s="28">
        <v>10</v>
      </c>
      <c r="M58" s="27" t="e">
        <f>CONCATENATE(#REF!,-L58)</f>
        <v>#REF!</v>
      </c>
      <c r="Z58" s="62"/>
      <c r="AA58" s="62"/>
      <c r="AB58" s="62"/>
      <c r="AC58" s="62"/>
      <c r="AD58" s="62"/>
      <c r="AE58" s="62"/>
      <c r="AF58" s="62"/>
      <c r="AG58" s="62"/>
      <c r="AH58" s="62"/>
    </row>
    <row r="59" spans="2:34">
      <c r="B59" s="22"/>
      <c r="C59" s="30" t="s">
        <v>434</v>
      </c>
      <c r="D59" s="22"/>
      <c r="E59" s="23" t="s">
        <v>319</v>
      </c>
      <c r="F59" s="24"/>
      <c r="G59" s="23" t="s">
        <v>143</v>
      </c>
      <c r="I59" s="28" t="s">
        <v>84</v>
      </c>
      <c r="J59" s="28">
        <v>4</v>
      </c>
      <c r="K59" s="28">
        <v>2</v>
      </c>
      <c r="L59" s="28">
        <v>11</v>
      </c>
      <c r="M59" s="27" t="e">
        <f>CONCATENATE(#REF!,-L59)</f>
        <v>#REF!</v>
      </c>
      <c r="Z59" s="62"/>
      <c r="AA59" s="62"/>
      <c r="AB59" s="62"/>
      <c r="AC59" s="62"/>
      <c r="AD59" s="62"/>
    </row>
    <row r="60" spans="2:34">
      <c r="B60" s="22"/>
      <c r="C60" s="30" t="s">
        <v>435</v>
      </c>
      <c r="D60" s="22"/>
      <c r="E60" s="23" t="s">
        <v>321</v>
      </c>
      <c r="F60" s="24"/>
      <c r="G60" s="23" t="s">
        <v>144</v>
      </c>
      <c r="I60" s="28" t="s">
        <v>84</v>
      </c>
      <c r="J60" s="28">
        <v>4</v>
      </c>
      <c r="K60" s="28">
        <v>2</v>
      </c>
      <c r="L60" s="28">
        <v>12</v>
      </c>
      <c r="M60" s="27" t="e">
        <f>CONCATENATE(#REF!,-L60)</f>
        <v>#REF!</v>
      </c>
    </row>
    <row r="61" spans="2:34">
      <c r="B61" s="22"/>
      <c r="C61" s="22"/>
      <c r="D61" s="22"/>
      <c r="E61" s="23" t="s">
        <v>323</v>
      </c>
      <c r="F61" s="24"/>
      <c r="G61" s="23" t="s">
        <v>145</v>
      </c>
      <c r="I61" s="28" t="s">
        <v>84</v>
      </c>
      <c r="J61" s="28">
        <v>4</v>
      </c>
      <c r="K61" s="28">
        <v>2</v>
      </c>
      <c r="L61" s="28">
        <v>13</v>
      </c>
      <c r="M61" s="27" t="e">
        <f>CONCATENATE(#REF!,-L61)</f>
        <v>#REF!</v>
      </c>
    </row>
    <row r="62" spans="2:34">
      <c r="B62" s="22"/>
      <c r="C62" s="22"/>
      <c r="D62" s="22"/>
      <c r="E62" s="22"/>
      <c r="F62" s="22"/>
      <c r="G62" s="23" t="s">
        <v>146</v>
      </c>
      <c r="I62" s="28" t="s">
        <v>84</v>
      </c>
      <c r="J62" s="28">
        <v>4</v>
      </c>
      <c r="K62" s="28">
        <v>2</v>
      </c>
      <c r="L62" s="28">
        <v>14</v>
      </c>
      <c r="M62" s="27" t="e">
        <f>CONCATENATE(#REF!,-L62)</f>
        <v>#REF!</v>
      </c>
    </row>
    <row r="63" spans="2:34">
      <c r="B63" s="22"/>
      <c r="C63" s="22"/>
      <c r="D63" s="22"/>
      <c r="E63" s="22"/>
      <c r="F63" s="22"/>
      <c r="G63" s="23" t="s">
        <v>147</v>
      </c>
      <c r="I63" s="28" t="s">
        <v>84</v>
      </c>
      <c r="J63" s="28">
        <v>4</v>
      </c>
      <c r="K63" s="28">
        <v>2</v>
      </c>
      <c r="L63" s="28">
        <v>15</v>
      </c>
      <c r="M63" s="27" t="e">
        <f>CONCATENATE(#REF!,-L63)</f>
        <v>#REF!</v>
      </c>
    </row>
    <row r="64" spans="2:34">
      <c r="B64" s="22"/>
      <c r="C64" s="22"/>
      <c r="D64" s="22"/>
      <c r="E64" s="22"/>
      <c r="F64" s="22"/>
      <c r="G64" s="23" t="s">
        <v>148</v>
      </c>
      <c r="I64" s="28" t="s">
        <v>84</v>
      </c>
      <c r="J64" s="28">
        <v>4</v>
      </c>
      <c r="K64" s="28">
        <v>2</v>
      </c>
      <c r="L64" s="28">
        <v>16</v>
      </c>
      <c r="M64" s="27" t="e">
        <f>CONCATENATE(#REF!,-L64)</f>
        <v>#REF!</v>
      </c>
    </row>
    <row r="65" spans="2:13">
      <c r="B65" s="22"/>
      <c r="C65" s="22"/>
      <c r="D65" s="22"/>
      <c r="E65" s="22"/>
      <c r="F65" s="22"/>
      <c r="G65" s="23" t="s">
        <v>150</v>
      </c>
      <c r="I65" s="28" t="s">
        <v>84</v>
      </c>
      <c r="J65" s="28">
        <v>4</v>
      </c>
      <c r="K65" s="28">
        <v>3</v>
      </c>
      <c r="L65" s="28">
        <v>1</v>
      </c>
      <c r="M65" s="27" t="e">
        <f>CONCATENATE(#REF!,-L65)</f>
        <v>#REF!</v>
      </c>
    </row>
    <row r="66" spans="2:13">
      <c r="B66" s="22"/>
      <c r="C66" s="17" t="s">
        <v>423</v>
      </c>
      <c r="D66" s="22"/>
      <c r="E66" s="17" t="s">
        <v>424</v>
      </c>
      <c r="F66" s="22"/>
      <c r="G66" s="23" t="s">
        <v>151</v>
      </c>
      <c r="I66" s="28" t="s">
        <v>84</v>
      </c>
      <c r="J66" s="28">
        <v>4</v>
      </c>
      <c r="K66" s="28">
        <v>3</v>
      </c>
      <c r="L66" s="28">
        <v>2</v>
      </c>
      <c r="M66" s="27" t="e">
        <f>CONCATENATE(#REF!,-L66)</f>
        <v>#REF!</v>
      </c>
    </row>
    <row r="67" spans="2:13">
      <c r="B67" s="22"/>
      <c r="C67" s="30" t="s">
        <v>436</v>
      </c>
      <c r="D67" s="22"/>
      <c r="E67" s="156" t="s">
        <v>437</v>
      </c>
      <c r="F67" s="22"/>
      <c r="G67" s="23" t="s">
        <v>152</v>
      </c>
      <c r="I67" s="28" t="s">
        <v>84</v>
      </c>
      <c r="J67" s="28">
        <v>4</v>
      </c>
      <c r="K67" s="28">
        <v>3</v>
      </c>
      <c r="L67" s="28">
        <v>3</v>
      </c>
      <c r="M67" s="27" t="e">
        <f>CONCATENATE(#REF!,-L67)</f>
        <v>#REF!</v>
      </c>
    </row>
    <row r="68" spans="2:13">
      <c r="B68" s="22"/>
      <c r="C68" s="30" t="s">
        <v>443</v>
      </c>
      <c r="D68" s="22"/>
      <c r="E68" s="156" t="s">
        <v>438</v>
      </c>
      <c r="F68" s="22"/>
      <c r="G68" s="23" t="s">
        <v>153</v>
      </c>
      <c r="I68" s="28" t="s">
        <v>84</v>
      </c>
      <c r="J68" s="28">
        <v>4</v>
      </c>
      <c r="K68" s="28">
        <v>3</v>
      </c>
      <c r="L68" s="28">
        <v>4</v>
      </c>
      <c r="M68" s="27" t="e">
        <f>CONCATENATE(#REF!,-L68)</f>
        <v>#REF!</v>
      </c>
    </row>
    <row r="69" spans="2:13">
      <c r="B69" s="22"/>
      <c r="C69" s="30" t="s">
        <v>455</v>
      </c>
      <c r="D69" s="22"/>
      <c r="E69" s="156" t="s">
        <v>439</v>
      </c>
      <c r="F69" s="22"/>
      <c r="G69" s="23" t="s">
        <v>154</v>
      </c>
      <c r="I69" s="28" t="s">
        <v>84</v>
      </c>
      <c r="J69" s="28">
        <v>4</v>
      </c>
      <c r="K69" s="28">
        <v>3</v>
      </c>
      <c r="L69" s="28">
        <v>5</v>
      </c>
      <c r="M69" s="27" t="e">
        <f>CONCATENATE(#REF!,-L69)</f>
        <v>#REF!</v>
      </c>
    </row>
    <row r="70" spans="2:13">
      <c r="B70" s="22"/>
      <c r="C70" s="30" t="s">
        <v>350</v>
      </c>
      <c r="D70" s="22"/>
      <c r="E70" s="156" t="s">
        <v>440</v>
      </c>
      <c r="F70" s="22"/>
      <c r="G70" s="23" t="s">
        <v>156</v>
      </c>
      <c r="I70" s="28" t="s">
        <v>84</v>
      </c>
      <c r="J70" s="28">
        <v>4</v>
      </c>
      <c r="K70" s="28">
        <v>4</v>
      </c>
      <c r="L70" s="28">
        <v>1</v>
      </c>
      <c r="M70" s="27" t="e">
        <f>CONCATENATE(#REF!,-L70)</f>
        <v>#REF!</v>
      </c>
    </row>
    <row r="71" spans="2:13">
      <c r="B71" s="22"/>
      <c r="C71" s="22"/>
      <c r="D71" s="22"/>
      <c r="E71" s="156" t="s">
        <v>441</v>
      </c>
      <c r="F71" s="22"/>
      <c r="G71" s="23" t="s">
        <v>157</v>
      </c>
      <c r="I71" s="28" t="s">
        <v>84</v>
      </c>
      <c r="J71" s="28">
        <v>4</v>
      </c>
      <c r="K71" s="28">
        <v>4</v>
      </c>
      <c r="L71" s="28">
        <v>2</v>
      </c>
      <c r="M71" s="27" t="e">
        <f>CONCATENATE(#REF!,-L71)</f>
        <v>#REF!</v>
      </c>
    </row>
    <row r="72" spans="2:13">
      <c r="B72" s="22"/>
      <c r="C72" s="22"/>
      <c r="D72" s="22"/>
      <c r="E72" s="156" t="s">
        <v>442</v>
      </c>
      <c r="F72" s="22"/>
      <c r="G72" s="33" t="s">
        <v>159</v>
      </c>
      <c r="I72" s="28" t="s">
        <v>84</v>
      </c>
      <c r="J72" s="28">
        <v>4</v>
      </c>
      <c r="K72" s="28">
        <v>5</v>
      </c>
      <c r="L72" s="28">
        <v>1</v>
      </c>
      <c r="M72" s="27" t="e">
        <f>CONCATENATE(#REF!,-L72)</f>
        <v>#REF!</v>
      </c>
    </row>
    <row r="73" spans="2:13">
      <c r="B73" s="22"/>
      <c r="C73" s="17" t="s">
        <v>463</v>
      </c>
      <c r="D73" s="22"/>
      <c r="E73" s="30" t="s">
        <v>444</v>
      </c>
      <c r="F73" s="22"/>
      <c r="G73" s="23" t="s">
        <v>162</v>
      </c>
      <c r="I73" s="28" t="s">
        <v>84</v>
      </c>
      <c r="J73" s="28">
        <v>5</v>
      </c>
      <c r="K73" s="28">
        <v>1</v>
      </c>
      <c r="L73" s="28">
        <v>1</v>
      </c>
      <c r="M73" s="27" t="e">
        <f>CONCATENATE(#REF!,-L73)</f>
        <v>#REF!</v>
      </c>
    </row>
    <row r="74" spans="2:13">
      <c r="B74" s="22"/>
      <c r="C74" s="30" t="s">
        <v>461</v>
      </c>
      <c r="D74" s="22"/>
      <c r="E74" s="30" t="s">
        <v>445</v>
      </c>
      <c r="F74" s="22"/>
      <c r="G74" s="23" t="s">
        <v>163</v>
      </c>
      <c r="I74" s="28" t="s">
        <v>84</v>
      </c>
      <c r="J74" s="28">
        <v>5</v>
      </c>
      <c r="K74" s="28">
        <v>1</v>
      </c>
      <c r="L74" s="28">
        <v>2</v>
      </c>
      <c r="M74" s="27" t="e">
        <f>CONCATENATE(#REF!,-L74)</f>
        <v>#REF!</v>
      </c>
    </row>
    <row r="75" spans="2:13">
      <c r="B75" s="22"/>
      <c r="C75" s="30" t="s">
        <v>462</v>
      </c>
      <c r="D75" s="22"/>
      <c r="E75" s="30" t="s">
        <v>446</v>
      </c>
      <c r="F75" s="22"/>
      <c r="G75" s="23" t="s">
        <v>164</v>
      </c>
      <c r="I75" s="28" t="s">
        <v>84</v>
      </c>
      <c r="J75" s="28">
        <v>5</v>
      </c>
      <c r="K75" s="28">
        <v>1</v>
      </c>
      <c r="L75" s="28">
        <v>3</v>
      </c>
      <c r="M75" s="27" t="e">
        <f>CONCATENATE(#REF!,-L75)</f>
        <v>#REF!</v>
      </c>
    </row>
    <row r="76" spans="2:13">
      <c r="B76" s="22"/>
      <c r="C76" s="25"/>
      <c r="D76" s="22"/>
      <c r="E76" s="156" t="s">
        <v>447</v>
      </c>
      <c r="F76" s="22"/>
      <c r="G76" s="23" t="s">
        <v>165</v>
      </c>
      <c r="I76" s="28" t="s">
        <v>84</v>
      </c>
      <c r="J76" s="28">
        <v>5</v>
      </c>
      <c r="K76" s="28">
        <v>1</v>
      </c>
      <c r="L76" s="28">
        <v>4</v>
      </c>
      <c r="M76" s="27" t="e">
        <f>CONCATENATE(#REF!,-L76)</f>
        <v>#REF!</v>
      </c>
    </row>
    <row r="77" spans="2:13">
      <c r="B77" s="22"/>
      <c r="C77" s="25"/>
      <c r="D77" s="22"/>
      <c r="E77" s="156" t="s">
        <v>448</v>
      </c>
      <c r="F77" s="22"/>
      <c r="G77" s="23" t="s">
        <v>166</v>
      </c>
      <c r="I77" s="28" t="s">
        <v>84</v>
      </c>
      <c r="J77" s="28">
        <v>5</v>
      </c>
      <c r="K77" s="28">
        <v>1</v>
      </c>
      <c r="L77" s="28">
        <v>5</v>
      </c>
      <c r="M77" s="27" t="e">
        <f>CONCATENATE(#REF!,-L77)</f>
        <v>#REF!</v>
      </c>
    </row>
    <row r="78" spans="2:13">
      <c r="B78" s="22"/>
      <c r="C78" s="25"/>
      <c r="E78" s="156" t="s">
        <v>449</v>
      </c>
      <c r="F78" s="22"/>
      <c r="G78" s="23" t="s">
        <v>168</v>
      </c>
      <c r="I78" s="28" t="s">
        <v>84</v>
      </c>
      <c r="J78" s="28">
        <v>5</v>
      </c>
      <c r="K78" s="28">
        <v>2</v>
      </c>
      <c r="L78" s="28">
        <v>1</v>
      </c>
      <c r="M78" s="27" t="e">
        <f>CONCATENATE(#REF!,-L78)</f>
        <v>#REF!</v>
      </c>
    </row>
    <row r="79" spans="2:13">
      <c r="B79" s="22"/>
      <c r="C79" s="25"/>
      <c r="E79" s="30" t="s">
        <v>450</v>
      </c>
      <c r="F79" s="22"/>
      <c r="G79" s="23" t="s">
        <v>169</v>
      </c>
      <c r="I79" s="28" t="s">
        <v>84</v>
      </c>
      <c r="J79" s="28">
        <v>5</v>
      </c>
      <c r="K79" s="28">
        <v>2</v>
      </c>
      <c r="L79" s="28">
        <v>2</v>
      </c>
      <c r="M79" s="27" t="e">
        <f>CONCATENATE(#REF!,-L79)</f>
        <v>#REF!</v>
      </c>
    </row>
    <row r="80" spans="2:13">
      <c r="B80" s="22"/>
      <c r="C80" s="25"/>
      <c r="E80" s="30" t="s">
        <v>451</v>
      </c>
      <c r="F80" s="22"/>
      <c r="G80" s="23" t="s">
        <v>170</v>
      </c>
      <c r="I80" s="28" t="s">
        <v>84</v>
      </c>
      <c r="J80" s="28">
        <v>5</v>
      </c>
      <c r="K80" s="28">
        <v>2</v>
      </c>
      <c r="L80" s="28">
        <v>3</v>
      </c>
      <c r="M80" s="27" t="e">
        <f>CONCATENATE(#REF!,-L80)</f>
        <v>#REF!</v>
      </c>
    </row>
    <row r="81" spans="2:13">
      <c r="B81" s="22"/>
      <c r="C81" s="25"/>
      <c r="E81" s="30" t="s">
        <v>452</v>
      </c>
      <c r="F81" s="22"/>
      <c r="G81" s="23" t="s">
        <v>171</v>
      </c>
      <c r="I81" s="28" t="s">
        <v>84</v>
      </c>
      <c r="J81" s="28">
        <v>5</v>
      </c>
      <c r="K81" s="28">
        <v>2</v>
      </c>
      <c r="L81" s="28">
        <v>4</v>
      </c>
      <c r="M81" s="27" t="e">
        <f>CONCATENATE(#REF!,-L81)</f>
        <v>#REF!</v>
      </c>
    </row>
    <row r="82" spans="2:13">
      <c r="B82" s="22"/>
      <c r="C82" s="25"/>
      <c r="E82" s="30" t="s">
        <v>453</v>
      </c>
      <c r="F82" s="22"/>
      <c r="G82" s="33" t="s">
        <v>173</v>
      </c>
      <c r="I82" s="28" t="s">
        <v>84</v>
      </c>
      <c r="J82" s="28">
        <v>5</v>
      </c>
      <c r="K82" s="28">
        <v>3</v>
      </c>
      <c r="L82" s="28">
        <v>1</v>
      </c>
      <c r="M82" s="27" t="e">
        <f>CONCATENATE(#REF!,-L82)</f>
        <v>#REF!</v>
      </c>
    </row>
    <row r="83" spans="2:13">
      <c r="B83" s="22"/>
      <c r="C83" s="25"/>
      <c r="E83" s="30" t="s">
        <v>454</v>
      </c>
      <c r="F83" s="22"/>
      <c r="G83" s="23" t="s">
        <v>174</v>
      </c>
      <c r="I83" s="28" t="s">
        <v>84</v>
      </c>
      <c r="J83" s="28">
        <v>5</v>
      </c>
      <c r="K83" s="28">
        <v>3</v>
      </c>
      <c r="L83" s="28">
        <v>2</v>
      </c>
      <c r="M83" s="27" t="e">
        <f>CONCATENATE(#REF!,-L83)</f>
        <v>#REF!</v>
      </c>
    </row>
    <row r="84" spans="2:13">
      <c r="B84" s="22"/>
      <c r="C84" s="25"/>
      <c r="F84" s="22"/>
      <c r="G84" s="23" t="s">
        <v>176</v>
      </c>
      <c r="I84" s="28" t="s">
        <v>84</v>
      </c>
      <c r="J84" s="28">
        <v>5</v>
      </c>
      <c r="K84" s="28">
        <v>4</v>
      </c>
      <c r="L84" s="28">
        <v>1</v>
      </c>
      <c r="M84" s="27" t="e">
        <f>CONCATENATE(#REF!,-L84)</f>
        <v>#REF!</v>
      </c>
    </row>
    <row r="85" spans="2:13">
      <c r="B85" s="22"/>
      <c r="C85" s="25"/>
      <c r="F85" s="22"/>
      <c r="G85" s="23" t="s">
        <v>179</v>
      </c>
      <c r="I85" s="29" t="s">
        <v>180</v>
      </c>
      <c r="J85" s="29">
        <v>1</v>
      </c>
      <c r="K85" s="29">
        <v>1</v>
      </c>
      <c r="L85" s="29">
        <v>1</v>
      </c>
      <c r="M85" s="27" t="e">
        <f>CONCATENATE(#REF!,-L85)</f>
        <v>#REF!</v>
      </c>
    </row>
    <row r="86" spans="2:13">
      <c r="B86" s="22"/>
      <c r="C86" s="25"/>
      <c r="F86" s="22"/>
      <c r="G86" s="23" t="s">
        <v>181</v>
      </c>
      <c r="I86" s="29" t="s">
        <v>180</v>
      </c>
      <c r="J86" s="29">
        <v>1</v>
      </c>
      <c r="K86" s="29">
        <v>1</v>
      </c>
      <c r="L86" s="29">
        <v>2</v>
      </c>
      <c r="M86" s="27" t="e">
        <f>CONCATENATE(#REF!,-L86)</f>
        <v>#REF!</v>
      </c>
    </row>
    <row r="87" spans="2:13">
      <c r="B87" s="22"/>
      <c r="C87" s="25"/>
      <c r="F87" s="22"/>
      <c r="G87" s="23" t="s">
        <v>182</v>
      </c>
      <c r="I87" s="29" t="s">
        <v>180</v>
      </c>
      <c r="J87" s="29">
        <v>1</v>
      </c>
      <c r="K87" s="29">
        <v>1</v>
      </c>
      <c r="L87" s="29">
        <v>3</v>
      </c>
      <c r="M87" s="27" t="e">
        <f>CONCATENATE(#REF!,-L87)</f>
        <v>#REF!</v>
      </c>
    </row>
    <row r="88" spans="2:13">
      <c r="B88" s="22"/>
      <c r="C88" s="25"/>
      <c r="F88" s="22"/>
      <c r="G88" s="23" t="s">
        <v>183</v>
      </c>
      <c r="I88" s="29" t="s">
        <v>180</v>
      </c>
      <c r="J88" s="29">
        <v>1</v>
      </c>
      <c r="K88" s="29">
        <v>1</v>
      </c>
      <c r="L88" s="29">
        <v>4</v>
      </c>
      <c r="M88" s="27" t="e">
        <f>CONCATENATE(#REF!,-L88)</f>
        <v>#REF!</v>
      </c>
    </row>
    <row r="89" spans="2:13">
      <c r="B89" s="22"/>
      <c r="C89" s="25"/>
      <c r="F89" s="24"/>
      <c r="G89" s="23" t="s">
        <v>184</v>
      </c>
      <c r="I89" s="29" t="s">
        <v>180</v>
      </c>
      <c r="J89" s="29">
        <v>1</v>
      </c>
      <c r="K89" s="29">
        <v>1</v>
      </c>
      <c r="L89" s="29">
        <v>5</v>
      </c>
      <c r="M89" s="27" t="e">
        <f>CONCATENATE(#REF!,-L89)</f>
        <v>#REF!</v>
      </c>
    </row>
    <row r="90" spans="2:13">
      <c r="B90" s="22"/>
      <c r="C90" s="25"/>
      <c r="F90" s="24"/>
      <c r="G90" s="33" t="s">
        <v>186</v>
      </c>
      <c r="I90" s="29" t="s">
        <v>180</v>
      </c>
      <c r="J90" s="29">
        <v>1</v>
      </c>
      <c r="K90" s="29">
        <v>2</v>
      </c>
      <c r="L90" s="29">
        <v>1</v>
      </c>
      <c r="M90" s="27" t="e">
        <f>CONCATENATE(#REF!,-L90)</f>
        <v>#REF!</v>
      </c>
    </row>
    <row r="91" spans="2:13">
      <c r="B91" s="22"/>
      <c r="C91" s="25"/>
      <c r="F91" s="24"/>
      <c r="G91" s="23" t="s">
        <v>188</v>
      </c>
      <c r="I91" s="29" t="s">
        <v>180</v>
      </c>
      <c r="J91" s="29">
        <v>1</v>
      </c>
      <c r="K91" s="29">
        <v>3</v>
      </c>
      <c r="L91" s="29">
        <v>1</v>
      </c>
      <c r="M91" s="27" t="e">
        <f>CONCATENATE(#REF!,-L91)</f>
        <v>#REF!</v>
      </c>
    </row>
    <row r="92" spans="2:13">
      <c r="B92" s="22"/>
      <c r="C92" s="25"/>
      <c r="F92" s="24"/>
      <c r="G92" s="23" t="s">
        <v>190</v>
      </c>
      <c r="I92" s="29" t="s">
        <v>180</v>
      </c>
      <c r="J92" s="29">
        <v>1</v>
      </c>
      <c r="K92" s="29">
        <v>4</v>
      </c>
      <c r="L92" s="29">
        <v>1</v>
      </c>
      <c r="M92" s="27" t="e">
        <f>CONCATENATE(#REF!,-L92)</f>
        <v>#REF!</v>
      </c>
    </row>
    <row r="93" spans="2:13">
      <c r="B93" s="22"/>
      <c r="C93" s="25"/>
      <c r="F93" s="24"/>
      <c r="G93" s="23" t="s">
        <v>191</v>
      </c>
      <c r="I93" s="29" t="s">
        <v>180</v>
      </c>
      <c r="J93" s="29">
        <v>1</v>
      </c>
      <c r="K93" s="29">
        <v>4</v>
      </c>
      <c r="L93" s="29">
        <v>2</v>
      </c>
      <c r="M93" s="27" t="e">
        <f>CONCATENATE(#REF!,-L93)</f>
        <v>#REF!</v>
      </c>
    </row>
    <row r="94" spans="2:13">
      <c r="B94" s="22"/>
      <c r="C94" s="25"/>
      <c r="F94" s="24"/>
      <c r="G94" s="23" t="s">
        <v>193</v>
      </c>
      <c r="I94" s="29" t="s">
        <v>180</v>
      </c>
      <c r="J94" s="29">
        <v>1</v>
      </c>
      <c r="K94" s="29">
        <v>5</v>
      </c>
      <c r="L94" s="29">
        <v>1</v>
      </c>
      <c r="M94" s="27" t="e">
        <f>CONCATENATE(#REF!,-L94)</f>
        <v>#REF!</v>
      </c>
    </row>
    <row r="95" spans="2:13">
      <c r="B95" s="22"/>
      <c r="C95" s="25"/>
      <c r="D95" s="22"/>
      <c r="F95" s="24"/>
      <c r="G95" s="23" t="s">
        <v>194</v>
      </c>
      <c r="I95" s="29" t="s">
        <v>180</v>
      </c>
      <c r="J95" s="29">
        <v>1</v>
      </c>
      <c r="K95" s="29">
        <v>5</v>
      </c>
      <c r="L95" s="29">
        <v>2</v>
      </c>
      <c r="M95" s="27" t="e">
        <f>CONCATENATE(#REF!,-L95)</f>
        <v>#REF!</v>
      </c>
    </row>
    <row r="96" spans="2:13">
      <c r="B96" s="22"/>
      <c r="C96" s="22"/>
      <c r="D96" s="22"/>
      <c r="F96" s="24"/>
      <c r="G96" s="23" t="s">
        <v>196</v>
      </c>
      <c r="I96" s="29" t="s">
        <v>180</v>
      </c>
      <c r="J96" s="29">
        <v>1</v>
      </c>
      <c r="K96" s="29">
        <v>6</v>
      </c>
      <c r="L96" s="29">
        <v>1</v>
      </c>
      <c r="M96" s="27" t="e">
        <f>CONCATENATE(#REF!,-L96)</f>
        <v>#REF!</v>
      </c>
    </row>
    <row r="97" spans="2:13">
      <c r="B97" s="22"/>
      <c r="C97" s="22"/>
      <c r="D97" s="22"/>
      <c r="F97" s="24"/>
      <c r="G97" s="23" t="s">
        <v>197</v>
      </c>
      <c r="I97" s="29" t="s">
        <v>180</v>
      </c>
      <c r="J97" s="29">
        <v>1</v>
      </c>
      <c r="K97" s="29">
        <v>6</v>
      </c>
      <c r="L97" s="29">
        <v>2</v>
      </c>
      <c r="M97" s="27" t="e">
        <f>CONCATENATE(#REF!,-L97)</f>
        <v>#REF!</v>
      </c>
    </row>
    <row r="98" spans="2:13">
      <c r="B98" s="22"/>
      <c r="C98" s="22"/>
      <c r="D98" s="22"/>
      <c r="F98" s="24"/>
      <c r="G98" s="23" t="s">
        <v>198</v>
      </c>
      <c r="I98" s="29" t="s">
        <v>180</v>
      </c>
      <c r="J98" s="29">
        <v>1</v>
      </c>
      <c r="K98" s="29">
        <v>6</v>
      </c>
      <c r="L98" s="29">
        <v>3</v>
      </c>
      <c r="M98" s="27" t="e">
        <f>CONCATENATE(#REF!,-L98)</f>
        <v>#REF!</v>
      </c>
    </row>
    <row r="99" spans="2:13">
      <c r="B99" s="22"/>
      <c r="C99" s="22"/>
      <c r="D99" s="22"/>
      <c r="F99" s="24"/>
      <c r="G99" s="23" t="s">
        <v>200</v>
      </c>
      <c r="I99" s="29" t="s">
        <v>180</v>
      </c>
      <c r="J99" s="29">
        <v>1</v>
      </c>
      <c r="K99" s="29">
        <v>7</v>
      </c>
      <c r="L99" s="29">
        <v>1</v>
      </c>
      <c r="M99" s="27" t="e">
        <f>CONCATENATE(#REF!,-L99)</f>
        <v>#REF!</v>
      </c>
    </row>
    <row r="100" spans="2:13">
      <c r="B100" s="22"/>
      <c r="C100" s="22"/>
      <c r="D100" s="22"/>
      <c r="F100" s="24"/>
      <c r="G100" s="23" t="s">
        <v>201</v>
      </c>
      <c r="I100" s="29" t="s">
        <v>180</v>
      </c>
      <c r="J100" s="29">
        <v>1</v>
      </c>
      <c r="K100" s="29">
        <v>7</v>
      </c>
      <c r="L100" s="29">
        <v>2</v>
      </c>
      <c r="M100" s="27" t="e">
        <f>CONCATENATE(#REF!,-L100)</f>
        <v>#REF!</v>
      </c>
    </row>
    <row r="101" spans="2:13">
      <c r="B101" s="22"/>
      <c r="C101" s="22"/>
      <c r="D101" s="22"/>
      <c r="F101" s="24"/>
      <c r="G101" s="23" t="s">
        <v>202</v>
      </c>
      <c r="I101" s="29" t="s">
        <v>180</v>
      </c>
      <c r="J101" s="29">
        <v>1</v>
      </c>
      <c r="K101" s="29">
        <v>8</v>
      </c>
      <c r="L101" s="29">
        <v>1</v>
      </c>
      <c r="M101" s="27" t="e">
        <f>CONCATENATE(#REF!,-L101)</f>
        <v>#REF!</v>
      </c>
    </row>
    <row r="102" spans="2:13">
      <c r="B102" s="22"/>
      <c r="C102" s="25"/>
      <c r="D102" s="25"/>
      <c r="F102" s="24"/>
      <c r="G102" s="23" t="s">
        <v>205</v>
      </c>
      <c r="I102" s="29" t="s">
        <v>180</v>
      </c>
      <c r="J102" s="29">
        <v>2</v>
      </c>
      <c r="K102" s="29">
        <v>1</v>
      </c>
      <c r="L102" s="29">
        <v>1</v>
      </c>
      <c r="M102" s="27" t="e">
        <f>CONCATENATE(#REF!,-L102)</f>
        <v>#REF!</v>
      </c>
    </row>
    <row r="103" spans="2:13">
      <c r="B103" s="22"/>
      <c r="C103" s="25"/>
      <c r="D103" s="25"/>
      <c r="F103" s="24"/>
      <c r="G103" s="23" t="s">
        <v>207</v>
      </c>
      <c r="I103" s="29" t="s">
        <v>180</v>
      </c>
      <c r="J103" s="29">
        <v>2</v>
      </c>
      <c r="K103" s="29">
        <v>2</v>
      </c>
      <c r="L103" s="29">
        <v>1</v>
      </c>
      <c r="M103" s="27" t="e">
        <f>CONCATENATE(#REF!,-L103)</f>
        <v>#REF!</v>
      </c>
    </row>
    <row r="104" spans="2:13">
      <c r="B104" s="22"/>
      <c r="C104" s="25"/>
      <c r="D104" s="25"/>
      <c r="F104" s="24"/>
      <c r="G104" s="23" t="s">
        <v>208</v>
      </c>
      <c r="I104" s="29" t="s">
        <v>180</v>
      </c>
      <c r="J104" s="29">
        <v>2</v>
      </c>
      <c r="K104" s="29">
        <v>2</v>
      </c>
      <c r="L104" s="29">
        <v>2</v>
      </c>
      <c r="M104" s="27" t="e">
        <f>CONCATENATE(#REF!,-L104)</f>
        <v>#REF!</v>
      </c>
    </row>
    <row r="105" spans="2:13">
      <c r="B105" s="22"/>
      <c r="C105" s="25"/>
      <c r="D105" s="25"/>
      <c r="F105" s="24"/>
      <c r="G105" s="33" t="s">
        <v>210</v>
      </c>
      <c r="I105" s="29" t="s">
        <v>180</v>
      </c>
      <c r="J105" s="29">
        <v>2</v>
      </c>
      <c r="K105" s="29">
        <v>3</v>
      </c>
      <c r="L105" s="29">
        <v>1</v>
      </c>
      <c r="M105" s="27" t="e">
        <f>CONCATENATE(#REF!,-L105)</f>
        <v>#REF!</v>
      </c>
    </row>
    <row r="106" spans="2:13">
      <c r="B106" s="22"/>
      <c r="C106" s="25"/>
      <c r="D106" s="25"/>
      <c r="F106" s="24"/>
      <c r="G106" s="23" t="s">
        <v>211</v>
      </c>
      <c r="I106" s="29" t="s">
        <v>180</v>
      </c>
      <c r="J106" s="29">
        <v>2</v>
      </c>
      <c r="K106" s="29">
        <v>3</v>
      </c>
      <c r="L106" s="29">
        <v>2</v>
      </c>
      <c r="M106" s="27" t="e">
        <f>CONCATENATE(#REF!,-L106)</f>
        <v>#REF!</v>
      </c>
    </row>
    <row r="107" spans="2:13">
      <c r="B107" s="22"/>
      <c r="C107" s="25"/>
      <c r="D107" s="25"/>
      <c r="F107" s="24"/>
      <c r="G107" s="23" t="s">
        <v>213</v>
      </c>
      <c r="I107" s="29" t="s">
        <v>180</v>
      </c>
      <c r="J107" s="29">
        <v>2</v>
      </c>
      <c r="K107" s="29">
        <v>4</v>
      </c>
      <c r="L107" s="29">
        <v>1</v>
      </c>
      <c r="M107" s="27" t="e">
        <f>CONCATENATE(#REF!,-L107)</f>
        <v>#REF!</v>
      </c>
    </row>
    <row r="108" spans="2:13">
      <c r="B108" s="22"/>
      <c r="C108" s="25"/>
      <c r="D108" s="25"/>
      <c r="F108" s="24"/>
      <c r="G108" s="23" t="s">
        <v>214</v>
      </c>
      <c r="I108" s="29" t="s">
        <v>180</v>
      </c>
      <c r="J108" s="29">
        <v>2</v>
      </c>
      <c r="K108" s="29">
        <v>4</v>
      </c>
      <c r="L108" s="29">
        <v>2</v>
      </c>
      <c r="M108" s="27" t="e">
        <f>CONCATENATE(#REF!,-L108)</f>
        <v>#REF!</v>
      </c>
    </row>
    <row r="109" spans="2:13">
      <c r="B109" s="22"/>
      <c r="C109" s="25"/>
      <c r="D109" s="25"/>
      <c r="F109" s="24"/>
      <c r="G109" s="23" t="s">
        <v>215</v>
      </c>
      <c r="I109" s="29" t="s">
        <v>180</v>
      </c>
      <c r="J109" s="29">
        <v>2</v>
      </c>
      <c r="K109" s="29">
        <v>4</v>
      </c>
      <c r="L109" s="29">
        <v>3</v>
      </c>
      <c r="M109" s="27" t="e">
        <f>CONCATENATE(#REF!,-L109)</f>
        <v>#REF!</v>
      </c>
    </row>
    <row r="110" spans="2:13">
      <c r="B110" s="22"/>
      <c r="C110" s="25"/>
      <c r="D110" s="25"/>
      <c r="F110" s="24"/>
      <c r="G110" s="33" t="s">
        <v>216</v>
      </c>
      <c r="I110" s="29" t="s">
        <v>180</v>
      </c>
      <c r="J110" s="29">
        <v>2</v>
      </c>
      <c r="K110" s="29">
        <v>5</v>
      </c>
      <c r="L110" s="29">
        <v>1</v>
      </c>
      <c r="M110" s="27" t="e">
        <f>CONCATENATE(#REF!,-L110)</f>
        <v>#REF!</v>
      </c>
    </row>
    <row r="111" spans="2:13">
      <c r="B111" s="22"/>
      <c r="C111" s="25"/>
      <c r="D111" s="25"/>
      <c r="F111" s="24"/>
      <c r="G111" s="23" t="s">
        <v>219</v>
      </c>
      <c r="I111" s="29" t="s">
        <v>180</v>
      </c>
      <c r="J111" s="29">
        <v>3</v>
      </c>
      <c r="K111" s="29">
        <v>1</v>
      </c>
      <c r="L111" s="29">
        <v>1</v>
      </c>
      <c r="M111" s="27" t="e">
        <f>CONCATENATE(#REF!,-L111)</f>
        <v>#REF!</v>
      </c>
    </row>
    <row r="112" spans="2:13">
      <c r="B112" s="22"/>
      <c r="C112" s="25"/>
      <c r="D112" s="25"/>
      <c r="F112" s="24"/>
      <c r="G112" s="30" t="s">
        <v>220</v>
      </c>
      <c r="I112" s="29" t="s">
        <v>180</v>
      </c>
      <c r="J112" s="29">
        <v>3</v>
      </c>
      <c r="K112" s="29">
        <v>1</v>
      </c>
      <c r="L112" s="29">
        <v>2</v>
      </c>
      <c r="M112" s="27" t="e">
        <f>CONCATENATE(#REF!,-L112)</f>
        <v>#REF!</v>
      </c>
    </row>
    <row r="113" spans="2:13">
      <c r="B113" s="22"/>
      <c r="C113" s="25"/>
      <c r="D113" s="25"/>
      <c r="F113" s="24"/>
      <c r="G113" s="23" t="s">
        <v>221</v>
      </c>
      <c r="I113" s="29" t="s">
        <v>180</v>
      </c>
      <c r="J113" s="29">
        <v>3</v>
      </c>
      <c r="K113" s="29">
        <v>1</v>
      </c>
      <c r="L113" s="29">
        <v>3</v>
      </c>
      <c r="M113" s="27" t="e">
        <f>CONCATENATE(#REF!,-L113)</f>
        <v>#REF!</v>
      </c>
    </row>
    <row r="114" spans="2:13">
      <c r="B114" s="22"/>
      <c r="C114" s="25"/>
      <c r="D114" s="25"/>
      <c r="F114" s="24"/>
      <c r="G114" s="33" t="s">
        <v>222</v>
      </c>
      <c r="I114" s="29" t="s">
        <v>180</v>
      </c>
      <c r="J114" s="29">
        <v>3</v>
      </c>
      <c r="K114" s="29">
        <v>2</v>
      </c>
      <c r="L114" s="29">
        <v>1</v>
      </c>
      <c r="M114" s="27" t="e">
        <f>CONCATENATE(#REF!,-L114)</f>
        <v>#REF!</v>
      </c>
    </row>
    <row r="115" spans="2:13">
      <c r="B115" s="22"/>
      <c r="C115" s="25"/>
      <c r="D115" s="25"/>
      <c r="F115" s="24"/>
      <c r="G115" s="23" t="s">
        <v>223</v>
      </c>
      <c r="I115" s="29" t="s">
        <v>180</v>
      </c>
      <c r="J115" s="29">
        <v>3</v>
      </c>
      <c r="K115" s="29">
        <v>2</v>
      </c>
      <c r="L115" s="29">
        <v>2</v>
      </c>
      <c r="M115" s="27" t="e">
        <f>CONCATENATE(#REF!,-L115)</f>
        <v>#REF!</v>
      </c>
    </row>
    <row r="116" spans="2:13">
      <c r="B116" s="22"/>
      <c r="C116" s="25"/>
      <c r="D116" s="25"/>
      <c r="F116" s="24"/>
      <c r="G116" s="23" t="s">
        <v>224</v>
      </c>
      <c r="I116" s="29" t="s">
        <v>180</v>
      </c>
      <c r="J116" s="29">
        <v>3</v>
      </c>
      <c r="K116" s="29">
        <v>2</v>
      </c>
      <c r="L116" s="29">
        <v>3</v>
      </c>
      <c r="M116" s="27" t="e">
        <f>CONCATENATE(#REF!,-L116)</f>
        <v>#REF!</v>
      </c>
    </row>
    <row r="117" spans="2:13">
      <c r="B117" s="22"/>
      <c r="C117" s="25"/>
      <c r="D117" s="25"/>
      <c r="F117" s="24"/>
      <c r="G117" s="23" t="s">
        <v>225</v>
      </c>
      <c r="I117" s="29" t="s">
        <v>180</v>
      </c>
      <c r="J117" s="29">
        <v>3</v>
      </c>
      <c r="K117" s="29">
        <v>2</v>
      </c>
      <c r="L117" s="29">
        <v>4</v>
      </c>
      <c r="M117" s="27" t="e">
        <f>CONCATENATE(#REF!,-L117)</f>
        <v>#REF!</v>
      </c>
    </row>
    <row r="118" spans="2:13">
      <c r="B118" s="22"/>
      <c r="C118" s="25"/>
      <c r="D118" s="25"/>
      <c r="F118" s="24"/>
      <c r="G118" s="151" t="s">
        <v>226</v>
      </c>
      <c r="I118" s="29" t="s">
        <v>180</v>
      </c>
      <c r="J118" s="29">
        <v>3</v>
      </c>
      <c r="K118" s="29">
        <v>2</v>
      </c>
      <c r="L118" s="29">
        <v>5</v>
      </c>
      <c r="M118" s="27" t="e">
        <f>CONCATENATE(#REF!,-L118)</f>
        <v>#REF!</v>
      </c>
    </row>
    <row r="119" spans="2:13">
      <c r="B119" s="22"/>
      <c r="C119" s="25"/>
      <c r="D119" s="25"/>
      <c r="F119" s="24"/>
      <c r="G119" s="151" t="s">
        <v>227</v>
      </c>
      <c r="I119" s="29" t="s">
        <v>180</v>
      </c>
      <c r="J119" s="29">
        <v>3</v>
      </c>
      <c r="K119" s="29">
        <v>2</v>
      </c>
      <c r="L119" s="29">
        <v>6</v>
      </c>
      <c r="M119" s="27" t="e">
        <f>CONCATENATE(#REF!,-L119)</f>
        <v>#REF!</v>
      </c>
    </row>
    <row r="120" spans="2:13">
      <c r="B120" s="22"/>
      <c r="C120" s="25"/>
      <c r="D120" s="25"/>
      <c r="F120" s="24"/>
      <c r="G120" s="152" t="s">
        <v>228</v>
      </c>
      <c r="I120" s="29" t="s">
        <v>180</v>
      </c>
      <c r="J120" s="29">
        <v>3</v>
      </c>
      <c r="K120" s="29">
        <v>2</v>
      </c>
      <c r="L120" s="29">
        <v>7</v>
      </c>
      <c r="M120" s="27" t="e">
        <f>CONCATENATE(#REF!,-L120)</f>
        <v>#REF!</v>
      </c>
    </row>
    <row r="121" spans="2:13">
      <c r="B121" s="22"/>
      <c r="C121" s="25"/>
      <c r="D121" s="25"/>
      <c r="F121" s="24"/>
      <c r="G121" s="151" t="s">
        <v>229</v>
      </c>
      <c r="I121" s="29" t="s">
        <v>180</v>
      </c>
      <c r="J121" s="29">
        <v>3</v>
      </c>
      <c r="K121" s="29">
        <v>2</v>
      </c>
      <c r="L121" s="29">
        <v>8</v>
      </c>
      <c r="M121" s="27" t="e">
        <f>CONCATENATE(#REF!,-L121)</f>
        <v>#REF!</v>
      </c>
    </row>
    <row r="122" spans="2:13">
      <c r="B122" s="22"/>
      <c r="C122" s="25"/>
      <c r="D122" s="25"/>
      <c r="F122" s="24"/>
      <c r="G122" s="151" t="s">
        <v>230</v>
      </c>
      <c r="I122" s="29" t="s">
        <v>180</v>
      </c>
      <c r="J122" s="29">
        <v>3</v>
      </c>
      <c r="K122" s="29">
        <v>2</v>
      </c>
      <c r="L122" s="29">
        <v>9</v>
      </c>
      <c r="M122" s="27" t="e">
        <f>CONCATENATE(#REF!,-L122)</f>
        <v>#REF!</v>
      </c>
    </row>
    <row r="123" spans="2:13">
      <c r="B123" s="22"/>
      <c r="C123" s="25"/>
      <c r="D123" s="25"/>
      <c r="F123" s="24"/>
      <c r="G123" s="153" t="s">
        <v>232</v>
      </c>
      <c r="I123" s="29" t="s">
        <v>180</v>
      </c>
      <c r="J123" s="29">
        <v>3</v>
      </c>
      <c r="K123" s="29">
        <v>3</v>
      </c>
      <c r="L123" s="29">
        <v>1</v>
      </c>
      <c r="M123" s="27" t="e">
        <f>CONCATENATE(#REF!,-L123)</f>
        <v>#REF!</v>
      </c>
    </row>
    <row r="124" spans="2:13">
      <c r="B124" s="22"/>
      <c r="C124" s="25"/>
      <c r="D124" s="25"/>
      <c r="F124" s="24"/>
      <c r="G124" s="152" t="s">
        <v>233</v>
      </c>
      <c r="I124" s="29" t="s">
        <v>180</v>
      </c>
      <c r="J124" s="29">
        <v>3</v>
      </c>
      <c r="K124" s="29">
        <v>3</v>
      </c>
      <c r="L124" s="29">
        <v>2</v>
      </c>
      <c r="M124" s="27" t="e">
        <f>CONCATENATE(#REF!,-L124)</f>
        <v>#REF!</v>
      </c>
    </row>
    <row r="125" spans="2:13">
      <c r="B125" s="22"/>
      <c r="C125" s="25"/>
      <c r="D125" s="25"/>
      <c r="F125" s="24"/>
      <c r="G125" s="151" t="s">
        <v>234</v>
      </c>
      <c r="I125" s="29" t="s">
        <v>180</v>
      </c>
      <c r="J125" s="29">
        <v>3</v>
      </c>
      <c r="K125" s="29">
        <v>3</v>
      </c>
      <c r="L125" s="29">
        <v>3</v>
      </c>
      <c r="M125" s="27" t="e">
        <f>CONCATENATE(#REF!,-L125)</f>
        <v>#REF!</v>
      </c>
    </row>
    <row r="126" spans="2:13">
      <c r="B126" s="22"/>
      <c r="C126" s="25"/>
      <c r="D126" s="25"/>
      <c r="F126" s="24"/>
      <c r="G126" s="151" t="s">
        <v>237</v>
      </c>
      <c r="I126" s="29" t="s">
        <v>180</v>
      </c>
      <c r="J126" s="29">
        <v>4</v>
      </c>
      <c r="K126" s="29">
        <v>1</v>
      </c>
      <c r="L126" s="29">
        <v>1</v>
      </c>
      <c r="M126" s="27" t="e">
        <f>CONCATENATE(#REF!,-L126)</f>
        <v>#REF!</v>
      </c>
    </row>
    <row r="127" spans="2:13">
      <c r="B127" s="22"/>
      <c r="C127" s="25"/>
      <c r="D127" s="25"/>
      <c r="F127" s="24"/>
      <c r="G127" s="151" t="s">
        <v>239</v>
      </c>
      <c r="I127" s="29" t="s">
        <v>180</v>
      </c>
      <c r="J127" s="29">
        <v>4</v>
      </c>
      <c r="K127" s="29">
        <v>2</v>
      </c>
      <c r="L127" s="29">
        <v>1</v>
      </c>
      <c r="M127" s="27" t="e">
        <f>CONCATENATE(#REF!,-L127)</f>
        <v>#REF!</v>
      </c>
    </row>
    <row r="128" spans="2:13">
      <c r="B128" s="22"/>
      <c r="C128" s="25"/>
      <c r="D128" s="25"/>
      <c r="F128" s="24"/>
      <c r="G128" s="151" t="s">
        <v>240</v>
      </c>
      <c r="I128" s="29" t="s">
        <v>180</v>
      </c>
      <c r="J128" s="29">
        <v>4</v>
      </c>
      <c r="K128" s="29">
        <v>2</v>
      </c>
      <c r="L128" s="29">
        <v>2</v>
      </c>
      <c r="M128" s="27" t="e">
        <f>CONCATENATE(#REF!,-L128)</f>
        <v>#REF!</v>
      </c>
    </row>
    <row r="129" spans="2:13">
      <c r="B129" s="22"/>
      <c r="C129" s="25"/>
      <c r="D129" s="25"/>
      <c r="F129" s="24"/>
      <c r="G129" s="151" t="s">
        <v>241</v>
      </c>
      <c r="I129" s="29" t="s">
        <v>180</v>
      </c>
      <c r="J129" s="29">
        <v>4</v>
      </c>
      <c r="K129" s="29">
        <v>2</v>
      </c>
      <c r="L129" s="29">
        <v>3</v>
      </c>
      <c r="M129" s="27" t="e">
        <f>CONCATENATE(#REF!,-L129)</f>
        <v>#REF!</v>
      </c>
    </row>
    <row r="130" spans="2:13">
      <c r="B130" s="22"/>
      <c r="C130" s="25"/>
      <c r="D130" s="25"/>
      <c r="F130" s="24"/>
      <c r="G130" s="151" t="s">
        <v>244</v>
      </c>
      <c r="I130" s="29" t="s">
        <v>180</v>
      </c>
      <c r="J130" s="29">
        <v>5</v>
      </c>
      <c r="K130" s="29">
        <v>1</v>
      </c>
      <c r="L130" s="29">
        <v>1</v>
      </c>
      <c r="M130" s="27" t="e">
        <f>CONCATENATE(#REF!,-L130)</f>
        <v>#REF!</v>
      </c>
    </row>
    <row r="131" spans="2:13">
      <c r="B131" s="22"/>
      <c r="C131" s="25"/>
      <c r="D131" s="25"/>
      <c r="F131" s="24"/>
      <c r="G131" s="151" t="s">
        <v>245</v>
      </c>
      <c r="I131" s="29" t="s">
        <v>180</v>
      </c>
      <c r="J131" s="29">
        <v>5</v>
      </c>
      <c r="K131" s="29">
        <v>1</v>
      </c>
      <c r="L131" s="29">
        <v>2</v>
      </c>
      <c r="M131" s="27" t="e">
        <f>CONCATENATE(#REF!,-L131)</f>
        <v>#REF!</v>
      </c>
    </row>
    <row r="132" spans="2:13">
      <c r="B132" s="22"/>
      <c r="C132" s="25"/>
      <c r="D132" s="25"/>
      <c r="F132" s="24"/>
      <c r="G132" s="23" t="s">
        <v>246</v>
      </c>
      <c r="I132" s="29" t="s">
        <v>180</v>
      </c>
      <c r="J132" s="29">
        <v>5</v>
      </c>
      <c r="K132" s="29">
        <v>1</v>
      </c>
      <c r="L132" s="29">
        <v>3</v>
      </c>
      <c r="M132" s="27" t="e">
        <f>CONCATENATE(#REF!,-L132)</f>
        <v>#REF!</v>
      </c>
    </row>
    <row r="133" spans="2:13">
      <c r="B133" s="22"/>
      <c r="C133" s="25"/>
      <c r="D133" s="25"/>
      <c r="F133" s="24"/>
      <c r="G133" s="33" t="s">
        <v>248</v>
      </c>
      <c r="I133" s="29" t="s">
        <v>180</v>
      </c>
      <c r="J133" s="29">
        <v>5</v>
      </c>
      <c r="K133" s="29">
        <v>2</v>
      </c>
      <c r="L133" s="29">
        <v>1</v>
      </c>
      <c r="M133" s="27" t="e">
        <f>CONCATENATE(#REF!,-L133)</f>
        <v>#REF!</v>
      </c>
    </row>
    <row r="134" spans="2:13">
      <c r="B134" s="22"/>
      <c r="C134" s="25"/>
      <c r="D134" s="25"/>
      <c r="F134" s="24"/>
      <c r="G134" s="23" t="s">
        <v>249</v>
      </c>
      <c r="I134" s="29" t="s">
        <v>180</v>
      </c>
      <c r="J134" s="29">
        <v>5</v>
      </c>
      <c r="K134" s="29">
        <v>2</v>
      </c>
      <c r="L134" s="29">
        <v>2</v>
      </c>
      <c r="M134" s="27" t="e">
        <f>CONCATENATE(#REF!,-L134)</f>
        <v>#REF!</v>
      </c>
    </row>
    <row r="135" spans="2:13">
      <c r="B135" s="22"/>
      <c r="C135" s="25"/>
      <c r="D135" s="25"/>
      <c r="F135" s="24"/>
      <c r="G135" s="23" t="s">
        <v>251</v>
      </c>
      <c r="I135" s="29" t="s">
        <v>180</v>
      </c>
      <c r="J135" s="29">
        <v>5</v>
      </c>
      <c r="K135" s="29">
        <v>3</v>
      </c>
      <c r="L135" s="29">
        <v>1</v>
      </c>
      <c r="M135" s="27" t="e">
        <f>CONCATENATE(#REF!,-L135)</f>
        <v>#REF!</v>
      </c>
    </row>
    <row r="136" spans="2:13">
      <c r="B136" s="22"/>
      <c r="C136" s="22"/>
      <c r="D136" s="22"/>
      <c r="F136" s="24"/>
      <c r="G136" s="23" t="s">
        <v>252</v>
      </c>
      <c r="I136" s="29" t="s">
        <v>180</v>
      </c>
      <c r="J136" s="29">
        <v>5</v>
      </c>
      <c r="K136" s="29">
        <v>3</v>
      </c>
      <c r="L136" s="29">
        <v>2</v>
      </c>
      <c r="M136" s="27" t="e">
        <f>CONCATENATE(#REF!,-L136)</f>
        <v>#REF!</v>
      </c>
    </row>
    <row r="137" spans="2:13">
      <c r="B137" s="22"/>
      <c r="C137" s="22"/>
      <c r="D137" s="22"/>
      <c r="F137" s="24"/>
      <c r="G137" s="23" t="s">
        <v>253</v>
      </c>
      <c r="I137" s="29" t="s">
        <v>180</v>
      </c>
      <c r="J137" s="29">
        <v>5</v>
      </c>
      <c r="K137" s="29">
        <v>3</v>
      </c>
      <c r="L137" s="29">
        <v>3</v>
      </c>
      <c r="M137" s="27" t="e">
        <f>CONCATENATE(#REF!,-L137)</f>
        <v>#REF!</v>
      </c>
    </row>
    <row r="138" spans="2:13" ht="27.6">
      <c r="B138" s="22"/>
      <c r="C138" s="22"/>
      <c r="D138" s="22"/>
      <c r="F138" s="24"/>
      <c r="G138" s="23" t="s">
        <v>254</v>
      </c>
      <c r="I138" s="29" t="s">
        <v>180</v>
      </c>
      <c r="J138" s="29">
        <v>5</v>
      </c>
      <c r="K138" s="29">
        <v>3</v>
      </c>
      <c r="L138" s="29">
        <v>4</v>
      </c>
      <c r="M138" s="27" t="e">
        <f>CONCATENATE(#REF!,-L138)</f>
        <v>#REF!</v>
      </c>
    </row>
    <row r="139" spans="2:13">
      <c r="B139" s="22"/>
      <c r="C139" s="22"/>
      <c r="D139" s="22"/>
      <c r="F139" s="24"/>
      <c r="G139" s="23" t="s">
        <v>255</v>
      </c>
      <c r="I139" s="29" t="s">
        <v>180</v>
      </c>
      <c r="J139" s="29">
        <v>5</v>
      </c>
      <c r="K139" s="29">
        <v>4</v>
      </c>
      <c r="L139" s="29">
        <v>1</v>
      </c>
      <c r="M139" s="27" t="e">
        <f>CONCATENATE(#REF!,-L139)</f>
        <v>#REF!</v>
      </c>
    </row>
    <row r="140" spans="2:13">
      <c r="B140" s="22"/>
      <c r="C140" s="22"/>
      <c r="D140" s="22"/>
      <c r="F140" s="24"/>
      <c r="G140" s="23" t="s">
        <v>256</v>
      </c>
      <c r="I140" s="29" t="s">
        <v>180</v>
      </c>
      <c r="J140" s="29">
        <v>5</v>
      </c>
      <c r="K140" s="29">
        <v>4</v>
      </c>
      <c r="L140" s="29">
        <v>2</v>
      </c>
      <c r="M140" s="27" t="e">
        <f>CONCATENATE(#REF!,-L140)</f>
        <v>#REF!</v>
      </c>
    </row>
    <row r="141" spans="2:13">
      <c r="B141" s="22"/>
      <c r="C141" s="22"/>
      <c r="D141" s="22"/>
      <c r="F141" s="24"/>
      <c r="G141" s="23" t="s">
        <v>258</v>
      </c>
      <c r="I141" s="29" t="s">
        <v>180</v>
      </c>
      <c r="J141" s="29">
        <v>5</v>
      </c>
      <c r="K141" s="29">
        <v>5</v>
      </c>
      <c r="L141" s="29">
        <v>1</v>
      </c>
      <c r="M141" s="27" t="e">
        <f>CONCATENATE(#REF!,-L141)</f>
        <v>#REF!</v>
      </c>
    </row>
    <row r="142" spans="2:13" ht="27.6">
      <c r="B142" s="22"/>
      <c r="C142" s="22"/>
      <c r="D142" s="22"/>
      <c r="F142" s="24"/>
      <c r="G142" s="23" t="s">
        <v>259</v>
      </c>
      <c r="I142" s="29" t="s">
        <v>180</v>
      </c>
      <c r="J142" s="29">
        <v>5</v>
      </c>
      <c r="K142" s="29">
        <v>5</v>
      </c>
      <c r="L142" s="29">
        <v>2</v>
      </c>
      <c r="M142" s="27" t="e">
        <f>CONCATENATE(#REF!,-L142)</f>
        <v>#REF!</v>
      </c>
    </row>
    <row r="143" spans="2:13">
      <c r="B143" s="22"/>
      <c r="C143" s="22"/>
      <c r="D143" s="22"/>
      <c r="F143" s="22"/>
      <c r="G143" s="23" t="s">
        <v>260</v>
      </c>
      <c r="I143" s="29" t="s">
        <v>180</v>
      </c>
      <c r="J143" s="29">
        <v>6</v>
      </c>
      <c r="K143" s="29">
        <v>1</v>
      </c>
      <c r="L143" s="29">
        <v>1</v>
      </c>
      <c r="M143" s="27" t="e">
        <f>CONCATENATE(#REF!,-L143)</f>
        <v>#REF!</v>
      </c>
    </row>
    <row r="144" spans="2:13">
      <c r="B144" s="22"/>
      <c r="C144" s="22"/>
      <c r="D144" s="22"/>
      <c r="F144" s="24"/>
      <c r="G144" s="23" t="s">
        <v>9</v>
      </c>
      <c r="I144" s="29" t="s">
        <v>180</v>
      </c>
      <c r="J144" s="29">
        <v>6</v>
      </c>
      <c r="K144" s="29">
        <v>1</v>
      </c>
      <c r="L144" s="29">
        <v>2</v>
      </c>
      <c r="M144" s="27" t="e">
        <f>CONCATENATE(#REF!,-L144)</f>
        <v>#REF!</v>
      </c>
    </row>
    <row r="145" spans="2:13">
      <c r="B145" s="22"/>
      <c r="C145" s="22"/>
      <c r="D145" s="22"/>
      <c r="F145" s="24"/>
      <c r="G145" s="23" t="s">
        <v>14</v>
      </c>
      <c r="I145" s="29" t="s">
        <v>180</v>
      </c>
      <c r="J145" s="29">
        <v>6</v>
      </c>
      <c r="K145" s="29">
        <v>1</v>
      </c>
      <c r="L145" s="29">
        <v>3</v>
      </c>
      <c r="M145" s="27" t="e">
        <f>CONCATENATE(#REF!,-L145)</f>
        <v>#REF!</v>
      </c>
    </row>
    <row r="146" spans="2:13">
      <c r="B146" s="22"/>
      <c r="C146" s="22"/>
      <c r="D146" s="22"/>
      <c r="F146" s="24"/>
      <c r="G146" s="23" t="s">
        <v>261</v>
      </c>
      <c r="I146" s="29" t="s">
        <v>180</v>
      </c>
      <c r="J146" s="29">
        <v>6</v>
      </c>
      <c r="K146" s="29">
        <v>1</v>
      </c>
      <c r="L146" s="29">
        <v>4</v>
      </c>
      <c r="M146" s="27" t="e">
        <f>CONCATENATE(#REF!,-L146)</f>
        <v>#REF!</v>
      </c>
    </row>
    <row r="147" spans="2:13">
      <c r="B147" s="22"/>
      <c r="C147" s="22"/>
      <c r="D147" s="22"/>
      <c r="F147" s="22"/>
      <c r="G147" s="23" t="s">
        <v>25</v>
      </c>
      <c r="I147" s="29" t="s">
        <v>180</v>
      </c>
      <c r="J147" s="29">
        <v>6</v>
      </c>
      <c r="K147" s="29">
        <v>2</v>
      </c>
      <c r="L147" s="29">
        <v>1</v>
      </c>
      <c r="M147" s="27" t="e">
        <f>CONCATENATE(#REF!,-L147)</f>
        <v>#REF!</v>
      </c>
    </row>
    <row r="148" spans="2:13">
      <c r="B148" s="22"/>
      <c r="C148" s="22"/>
      <c r="D148" s="22"/>
      <c r="F148" s="24"/>
      <c r="G148" s="23" t="s">
        <v>262</v>
      </c>
      <c r="I148" s="29" t="s">
        <v>180</v>
      </c>
      <c r="J148" s="29">
        <v>6</v>
      </c>
      <c r="K148" s="29">
        <v>2</v>
      </c>
      <c r="L148" s="29">
        <v>2</v>
      </c>
      <c r="M148" s="27" t="e">
        <f>CONCATENATE(#REF!,-L148)</f>
        <v>#REF!</v>
      </c>
    </row>
    <row r="149" spans="2:13">
      <c r="B149" s="22"/>
      <c r="C149" s="22"/>
      <c r="D149" s="22"/>
      <c r="F149" s="24"/>
      <c r="G149" s="23" t="s">
        <v>263</v>
      </c>
      <c r="I149" s="29" t="s">
        <v>180</v>
      </c>
      <c r="J149" s="29">
        <v>6</v>
      </c>
      <c r="K149" s="29">
        <v>2</v>
      </c>
      <c r="L149" s="29">
        <v>3</v>
      </c>
      <c r="M149" s="27" t="e">
        <f>CONCATENATE(#REF!,-L149)</f>
        <v>#REF!</v>
      </c>
    </row>
    <row r="150" spans="2:13">
      <c r="B150" s="22"/>
      <c r="C150" s="22"/>
      <c r="D150" s="22"/>
      <c r="F150" s="22"/>
      <c r="G150" s="33" t="s">
        <v>265</v>
      </c>
      <c r="I150" s="29" t="s">
        <v>180</v>
      </c>
      <c r="J150" s="29">
        <v>6</v>
      </c>
      <c r="K150" s="29">
        <v>3</v>
      </c>
      <c r="L150" s="29">
        <v>1</v>
      </c>
      <c r="M150" s="27" t="e">
        <f>CONCATENATE(#REF!,-L150)</f>
        <v>#REF!</v>
      </c>
    </row>
    <row r="151" spans="2:13">
      <c r="B151" s="22"/>
      <c r="C151" s="22"/>
      <c r="D151" s="22"/>
      <c r="F151" s="24"/>
      <c r="G151" s="23" t="s">
        <v>266</v>
      </c>
      <c r="I151" s="29" t="s">
        <v>180</v>
      </c>
      <c r="J151" s="29">
        <v>6</v>
      </c>
      <c r="K151" s="29">
        <v>3</v>
      </c>
      <c r="L151" s="29">
        <v>2</v>
      </c>
      <c r="M151" s="27" t="e">
        <f>CONCATENATE(#REF!,-L151)</f>
        <v>#REF!</v>
      </c>
    </row>
    <row r="152" spans="2:13">
      <c r="B152" s="22"/>
      <c r="C152" s="22"/>
      <c r="D152" s="22"/>
      <c r="F152" s="22"/>
      <c r="G152" s="23" t="s">
        <v>267</v>
      </c>
      <c r="I152" s="29" t="s">
        <v>180</v>
      </c>
      <c r="J152" s="29">
        <v>6</v>
      </c>
      <c r="K152" s="29">
        <v>4</v>
      </c>
      <c r="L152" s="29">
        <v>1</v>
      </c>
      <c r="M152" s="27" t="e">
        <f>CONCATENATE(#REF!,-L152)</f>
        <v>#REF!</v>
      </c>
    </row>
    <row r="153" spans="2:13">
      <c r="B153" s="22"/>
      <c r="C153" s="22"/>
      <c r="D153" s="22"/>
      <c r="F153" s="24"/>
      <c r="G153" s="23" t="s">
        <v>31</v>
      </c>
      <c r="I153" s="29" t="s">
        <v>180</v>
      </c>
      <c r="J153" s="29">
        <v>6</v>
      </c>
      <c r="K153" s="29">
        <v>4</v>
      </c>
      <c r="L153" s="29">
        <v>2</v>
      </c>
      <c r="M153" s="27" t="e">
        <f>CONCATENATE(#REF!,-L153)</f>
        <v>#REF!</v>
      </c>
    </row>
    <row r="154" spans="2:13">
      <c r="B154" s="22"/>
      <c r="C154" s="22"/>
      <c r="D154" s="22"/>
      <c r="F154" s="22"/>
      <c r="G154" s="23" t="s">
        <v>268</v>
      </c>
      <c r="I154" s="29" t="s">
        <v>180</v>
      </c>
      <c r="J154" s="29">
        <v>6</v>
      </c>
      <c r="K154" s="29">
        <v>5</v>
      </c>
      <c r="L154" s="29">
        <v>1</v>
      </c>
      <c r="M154" s="27" t="e">
        <f>CONCATENATE(#REF!,-L154)</f>
        <v>#REF!</v>
      </c>
    </row>
    <row r="155" spans="2:13">
      <c r="B155" s="22"/>
      <c r="C155" s="22"/>
      <c r="D155" s="22"/>
      <c r="F155" s="24"/>
      <c r="G155" s="23" t="s">
        <v>269</v>
      </c>
      <c r="I155" s="29" t="s">
        <v>180</v>
      </c>
      <c r="J155" s="29">
        <v>6</v>
      </c>
      <c r="K155" s="29">
        <v>5</v>
      </c>
      <c r="L155" s="29">
        <v>2</v>
      </c>
      <c r="M155" s="27" t="e">
        <f>CONCATENATE(#REF!,-L155)</f>
        <v>#REF!</v>
      </c>
    </row>
    <row r="156" spans="2:13">
      <c r="B156" s="22"/>
      <c r="C156" s="22"/>
      <c r="D156" s="22"/>
      <c r="F156" s="24"/>
      <c r="G156" s="23" t="s">
        <v>270</v>
      </c>
      <c r="I156" s="29" t="s">
        <v>180</v>
      </c>
      <c r="J156" s="29">
        <v>6</v>
      </c>
      <c r="K156" s="29">
        <v>5</v>
      </c>
      <c r="L156" s="29">
        <v>3</v>
      </c>
      <c r="M156" s="27" t="e">
        <f>CONCATENATE(#REF!,-L156)</f>
        <v>#REF!</v>
      </c>
    </row>
    <row r="157" spans="2:13">
      <c r="B157" s="22"/>
      <c r="C157" s="22"/>
      <c r="D157" s="22"/>
      <c r="F157" s="24"/>
      <c r="G157" s="23" t="s">
        <v>23</v>
      </c>
      <c r="I157" s="29" t="s">
        <v>180</v>
      </c>
      <c r="J157" s="29">
        <v>6</v>
      </c>
      <c r="K157" s="29">
        <v>5</v>
      </c>
      <c r="L157" s="29">
        <v>4</v>
      </c>
      <c r="M157" s="27" t="e">
        <f>CONCATENATE(#REF!,-L157)</f>
        <v>#REF!</v>
      </c>
    </row>
    <row r="158" spans="2:13">
      <c r="B158" s="22"/>
      <c r="C158" s="22"/>
      <c r="D158" s="22"/>
      <c r="F158" s="24"/>
      <c r="G158" s="23" t="s">
        <v>271</v>
      </c>
      <c r="I158" s="29" t="s">
        <v>180</v>
      </c>
      <c r="J158" s="29">
        <v>6</v>
      </c>
      <c r="K158" s="29">
        <v>5</v>
      </c>
      <c r="L158" s="29">
        <v>5</v>
      </c>
      <c r="M158" s="27" t="e">
        <f>CONCATENATE(#REF!,-L158)</f>
        <v>#REF!</v>
      </c>
    </row>
    <row r="159" spans="2:13">
      <c r="B159" s="22"/>
      <c r="C159" s="22"/>
      <c r="D159" s="22"/>
      <c r="G159" s="23" t="s">
        <v>17</v>
      </c>
      <c r="I159" s="29" t="s">
        <v>180</v>
      </c>
      <c r="J159" s="29">
        <v>6</v>
      </c>
      <c r="K159" s="29">
        <v>5</v>
      </c>
      <c r="L159" s="29">
        <v>6</v>
      </c>
      <c r="M159" s="27" t="e">
        <f>CONCATENATE(#REF!,-L159)</f>
        <v>#REF!</v>
      </c>
    </row>
    <row r="160" spans="2:13">
      <c r="B160" s="22"/>
      <c r="C160" s="22"/>
      <c r="D160" s="22"/>
      <c r="G160" s="23" t="s">
        <v>27</v>
      </c>
      <c r="I160" s="29" t="s">
        <v>180</v>
      </c>
      <c r="J160" s="29">
        <v>6</v>
      </c>
      <c r="K160" s="29">
        <v>5</v>
      </c>
      <c r="L160" s="29">
        <v>7</v>
      </c>
      <c r="M160" s="27" t="e">
        <f>CONCATENATE(#REF!,-L160)</f>
        <v>#REF!</v>
      </c>
    </row>
    <row r="161" spans="2:13">
      <c r="B161" s="22"/>
      <c r="C161" s="22"/>
      <c r="D161" s="22"/>
      <c r="G161" s="23" t="s">
        <v>272</v>
      </c>
      <c r="I161" s="29" t="s">
        <v>180</v>
      </c>
      <c r="J161" s="29">
        <v>6</v>
      </c>
      <c r="K161" s="29">
        <v>5</v>
      </c>
      <c r="L161" s="29">
        <v>8</v>
      </c>
      <c r="M161" s="27" t="e">
        <f>CONCATENATE(#REF!,-L161)</f>
        <v>#REF!</v>
      </c>
    </row>
    <row r="162" spans="2:13">
      <c r="B162" s="22"/>
      <c r="C162" s="22"/>
      <c r="D162" s="22"/>
      <c r="G162" s="23" t="s">
        <v>22</v>
      </c>
      <c r="I162" s="29" t="s">
        <v>180</v>
      </c>
      <c r="J162" s="29">
        <v>6</v>
      </c>
      <c r="K162" s="29">
        <v>6</v>
      </c>
      <c r="L162" s="29">
        <v>1</v>
      </c>
      <c r="M162" s="27" t="e">
        <f>CONCATENATE(#REF!,-L162)</f>
        <v>#REF!</v>
      </c>
    </row>
    <row r="163" spans="2:13">
      <c r="B163" s="22"/>
      <c r="C163" s="22"/>
      <c r="D163" s="22"/>
      <c r="G163" s="23" t="s">
        <v>273</v>
      </c>
      <c r="I163" s="29" t="s">
        <v>180</v>
      </c>
      <c r="J163" s="29">
        <v>6</v>
      </c>
      <c r="K163" s="29">
        <v>6</v>
      </c>
      <c r="L163" s="29">
        <v>2</v>
      </c>
      <c r="M163" s="27" t="e">
        <f>CONCATENATE(#REF!,-L163)</f>
        <v>#REF!</v>
      </c>
    </row>
    <row r="164" spans="2:13" ht="36" customHeight="1">
      <c r="B164" s="22"/>
      <c r="C164" s="22"/>
      <c r="D164" s="22"/>
      <c r="G164" s="23" t="s">
        <v>276</v>
      </c>
      <c r="I164" s="29" t="s">
        <v>180</v>
      </c>
      <c r="J164" s="29">
        <v>7</v>
      </c>
      <c r="K164" s="29">
        <v>1</v>
      </c>
      <c r="L164" s="29">
        <v>1</v>
      </c>
      <c r="M164" s="27" t="e">
        <f>CONCATENATE(#REF!,-L164)</f>
        <v>#REF!</v>
      </c>
    </row>
    <row r="165" spans="2:13">
      <c r="B165" s="22"/>
      <c r="C165" s="22"/>
      <c r="D165" s="22"/>
      <c r="F165" s="24"/>
      <c r="G165" s="23" t="s">
        <v>277</v>
      </c>
      <c r="I165" s="29" t="s">
        <v>180</v>
      </c>
      <c r="J165" s="29">
        <v>7</v>
      </c>
      <c r="K165" s="29">
        <v>1</v>
      </c>
      <c r="L165" s="29">
        <v>2</v>
      </c>
      <c r="M165" s="27" t="e">
        <f>CONCATENATE(#REF!,-L165)</f>
        <v>#REF!</v>
      </c>
    </row>
    <row r="166" spans="2:13">
      <c r="B166" s="22"/>
      <c r="C166" s="22"/>
      <c r="D166" s="22"/>
      <c r="F166" s="24"/>
      <c r="G166" s="23" t="s">
        <v>278</v>
      </c>
      <c r="I166" s="29" t="s">
        <v>180</v>
      </c>
      <c r="J166" s="29">
        <v>7</v>
      </c>
      <c r="K166" s="29">
        <v>1</v>
      </c>
      <c r="L166" s="29">
        <v>3</v>
      </c>
      <c r="M166" s="27" t="e">
        <f>CONCATENATE(#REF!,-L166)</f>
        <v>#REF!</v>
      </c>
    </row>
    <row r="167" spans="2:13">
      <c r="B167" s="22"/>
      <c r="C167" s="22"/>
      <c r="D167" s="22"/>
      <c r="F167" s="24"/>
      <c r="G167" s="23" t="s">
        <v>279</v>
      </c>
      <c r="I167" s="29" t="s">
        <v>180</v>
      </c>
      <c r="J167" s="29">
        <v>7</v>
      </c>
      <c r="K167" s="29">
        <v>1</v>
      </c>
      <c r="L167" s="29">
        <v>4</v>
      </c>
      <c r="M167" s="27" t="e">
        <f>CONCATENATE(#REF!,-L167)</f>
        <v>#REF!</v>
      </c>
    </row>
    <row r="168" spans="2:13">
      <c r="B168" s="22"/>
      <c r="C168" s="22"/>
      <c r="D168" s="22"/>
      <c r="F168" s="24"/>
      <c r="G168" s="23" t="s">
        <v>281</v>
      </c>
      <c r="I168" s="29" t="s">
        <v>180</v>
      </c>
      <c r="J168" s="29">
        <v>7</v>
      </c>
      <c r="K168" s="29">
        <v>2</v>
      </c>
      <c r="L168" s="29">
        <v>1</v>
      </c>
      <c r="M168" s="27" t="e">
        <f>CONCATENATE(#REF!,-L168)</f>
        <v>#REF!</v>
      </c>
    </row>
    <row r="169" spans="2:13">
      <c r="B169" s="22"/>
      <c r="C169" s="22"/>
      <c r="D169" s="22"/>
      <c r="F169" s="24"/>
      <c r="G169" s="23" t="s">
        <v>282</v>
      </c>
      <c r="I169" s="29" t="s">
        <v>180</v>
      </c>
      <c r="J169" s="29">
        <v>7</v>
      </c>
      <c r="K169" s="29">
        <v>2</v>
      </c>
      <c r="L169" s="29">
        <v>2</v>
      </c>
      <c r="M169" s="27" t="e">
        <f>CONCATENATE(#REF!,-L169)</f>
        <v>#REF!</v>
      </c>
    </row>
    <row r="170" spans="2:13">
      <c r="B170" s="22"/>
      <c r="C170" s="22"/>
      <c r="D170" s="22"/>
      <c r="F170" s="24"/>
      <c r="G170" s="23" t="s">
        <v>283</v>
      </c>
      <c r="I170" s="29" t="s">
        <v>180</v>
      </c>
      <c r="J170" s="29">
        <v>7</v>
      </c>
      <c r="K170" s="29">
        <v>2</v>
      </c>
      <c r="L170" s="29">
        <v>3</v>
      </c>
      <c r="M170" s="27" t="e">
        <f>CONCATENATE(#REF!,-L170)</f>
        <v>#REF!</v>
      </c>
    </row>
    <row r="171" spans="2:13">
      <c r="B171" s="22"/>
      <c r="C171" s="22"/>
      <c r="D171" s="22"/>
      <c r="F171" s="24"/>
      <c r="G171" s="23" t="s">
        <v>284</v>
      </c>
      <c r="I171" s="29" t="s">
        <v>180</v>
      </c>
      <c r="J171" s="29">
        <v>7</v>
      </c>
      <c r="K171" s="29">
        <v>2</v>
      </c>
      <c r="L171" s="29">
        <v>4</v>
      </c>
      <c r="M171" s="27" t="e">
        <f>CONCATENATE(#REF!,-L171)</f>
        <v>#REF!</v>
      </c>
    </row>
    <row r="172" spans="2:13">
      <c r="B172" s="22"/>
      <c r="C172" s="22"/>
      <c r="D172" s="22"/>
      <c r="F172" s="24"/>
      <c r="G172" s="23" t="s">
        <v>285</v>
      </c>
      <c r="I172" s="29" t="s">
        <v>180</v>
      </c>
      <c r="J172" s="29">
        <v>7</v>
      </c>
      <c r="K172" s="29">
        <v>2</v>
      </c>
      <c r="L172" s="29">
        <v>5</v>
      </c>
      <c r="M172" s="27" t="e">
        <f>CONCATENATE(#REF!,-L172)</f>
        <v>#REF!</v>
      </c>
    </row>
    <row r="173" spans="2:13">
      <c r="B173" s="22"/>
      <c r="C173" s="22"/>
      <c r="D173" s="22"/>
      <c r="F173" s="24"/>
      <c r="G173" s="23" t="s">
        <v>288</v>
      </c>
      <c r="I173" s="29" t="s">
        <v>180</v>
      </c>
      <c r="J173" s="29">
        <v>8</v>
      </c>
      <c r="K173" s="29">
        <v>1</v>
      </c>
      <c r="L173" s="29">
        <v>1</v>
      </c>
      <c r="M173" s="27" t="e">
        <f>CONCATENATE(#REF!,-L173)</f>
        <v>#REF!</v>
      </c>
    </row>
    <row r="174" spans="2:13">
      <c r="B174" s="22"/>
      <c r="C174" s="22"/>
      <c r="D174" s="22"/>
      <c r="F174" s="24"/>
      <c r="G174" s="23" t="s">
        <v>289</v>
      </c>
      <c r="I174" s="29" t="s">
        <v>180</v>
      </c>
      <c r="J174" s="29">
        <v>8</v>
      </c>
      <c r="K174" s="29">
        <v>1</v>
      </c>
      <c r="L174" s="29">
        <v>2</v>
      </c>
      <c r="M174" s="27" t="e">
        <f>CONCATENATE(#REF!,-L174)</f>
        <v>#REF!</v>
      </c>
    </row>
    <row r="175" spans="2:13">
      <c r="B175" s="22"/>
      <c r="C175" s="22"/>
      <c r="D175" s="22"/>
      <c r="F175" s="24"/>
      <c r="G175" s="23" t="s">
        <v>290</v>
      </c>
      <c r="I175" s="29" t="s">
        <v>180</v>
      </c>
      <c r="J175" s="29">
        <v>8</v>
      </c>
      <c r="K175" s="29">
        <v>1</v>
      </c>
      <c r="L175" s="29">
        <v>3</v>
      </c>
      <c r="M175" s="27" t="e">
        <f>CONCATENATE(#REF!,-L175)</f>
        <v>#REF!</v>
      </c>
    </row>
    <row r="176" spans="2:13">
      <c r="B176" s="22"/>
      <c r="C176" s="22"/>
      <c r="D176" s="22"/>
      <c r="F176" s="24"/>
      <c r="G176" s="23" t="s">
        <v>292</v>
      </c>
      <c r="I176" s="29" t="s">
        <v>180</v>
      </c>
      <c r="J176" s="29">
        <v>8</v>
      </c>
      <c r="K176" s="29">
        <v>2</v>
      </c>
      <c r="L176" s="29">
        <v>1</v>
      </c>
      <c r="M176" s="27" t="e">
        <f>CONCATENATE(#REF!,-L176)</f>
        <v>#REF!</v>
      </c>
    </row>
    <row r="177" spans="2:13">
      <c r="B177" s="22"/>
      <c r="C177" s="22"/>
      <c r="D177" s="22"/>
      <c r="F177" s="24"/>
      <c r="G177" s="23" t="s">
        <v>293</v>
      </c>
      <c r="I177" s="29" t="s">
        <v>180</v>
      </c>
      <c r="J177" s="29">
        <v>8</v>
      </c>
      <c r="K177" s="29">
        <v>2</v>
      </c>
      <c r="L177" s="29">
        <v>2</v>
      </c>
      <c r="M177" s="27" t="e">
        <f>CONCATENATE(#REF!,-L177)</f>
        <v>#REF!</v>
      </c>
    </row>
    <row r="178" spans="2:13">
      <c r="B178" s="22"/>
      <c r="C178" s="22"/>
      <c r="D178" s="22"/>
      <c r="F178" s="24"/>
      <c r="G178" s="23" t="s">
        <v>294</v>
      </c>
      <c r="I178" s="29" t="s">
        <v>180</v>
      </c>
      <c r="J178" s="29">
        <v>8</v>
      </c>
      <c r="K178" s="29">
        <v>2</v>
      </c>
      <c r="L178" s="29">
        <v>3</v>
      </c>
      <c r="M178" s="27" t="e">
        <f>CONCATENATE(#REF!,-L178)</f>
        <v>#REF!</v>
      </c>
    </row>
    <row r="179" spans="2:13">
      <c r="B179" s="22"/>
      <c r="C179" s="22"/>
      <c r="D179" s="22"/>
      <c r="F179" s="24"/>
      <c r="G179" s="23" t="s">
        <v>296</v>
      </c>
      <c r="I179" s="29" t="s">
        <v>180</v>
      </c>
      <c r="J179" s="29">
        <v>8</v>
      </c>
      <c r="K179" s="29">
        <v>3</v>
      </c>
      <c r="L179" s="29">
        <v>1</v>
      </c>
      <c r="M179" s="27" t="e">
        <f>CONCATENATE(#REF!,-L179)</f>
        <v>#REF!</v>
      </c>
    </row>
    <row r="180" spans="2:13">
      <c r="B180" s="22"/>
      <c r="C180" s="22"/>
      <c r="D180" s="22"/>
      <c r="F180" s="24"/>
      <c r="G180" s="23" t="s">
        <v>295</v>
      </c>
      <c r="I180" s="29" t="s">
        <v>180</v>
      </c>
      <c r="J180" s="29">
        <v>8</v>
      </c>
      <c r="K180" s="29">
        <v>3</v>
      </c>
      <c r="L180" s="29">
        <v>2</v>
      </c>
      <c r="M180" s="27" t="e">
        <f>CONCATENATE(#REF!,-L180)</f>
        <v>#REF!</v>
      </c>
    </row>
    <row r="181" spans="2:13">
      <c r="B181" s="22"/>
      <c r="C181" s="22"/>
      <c r="D181" s="22"/>
      <c r="F181" s="24"/>
      <c r="G181" s="23" t="s">
        <v>298</v>
      </c>
      <c r="I181" s="29" t="s">
        <v>180</v>
      </c>
      <c r="J181" s="29">
        <v>8</v>
      </c>
      <c r="K181" s="29">
        <v>4</v>
      </c>
      <c r="L181" s="29">
        <v>1</v>
      </c>
      <c r="M181" s="27" t="e">
        <f>CONCATENATE(#REF!,-L181)</f>
        <v>#REF!</v>
      </c>
    </row>
    <row r="182" spans="2:13">
      <c r="B182" s="22"/>
      <c r="C182" s="22"/>
      <c r="D182" s="22"/>
      <c r="F182" s="24"/>
      <c r="G182" s="23" t="s">
        <v>301</v>
      </c>
      <c r="I182" s="29" t="s">
        <v>180</v>
      </c>
      <c r="J182" s="29">
        <v>9</v>
      </c>
      <c r="K182" s="29">
        <v>1</v>
      </c>
      <c r="L182" s="29">
        <v>1</v>
      </c>
      <c r="M182" s="27" t="e">
        <f>CONCATENATE(#REF!,-L182)</f>
        <v>#REF!</v>
      </c>
    </row>
    <row r="183" spans="2:13">
      <c r="B183" s="22"/>
      <c r="C183" s="22"/>
      <c r="D183" s="22"/>
      <c r="F183" s="24"/>
      <c r="G183" s="23" t="s">
        <v>302</v>
      </c>
      <c r="I183" s="29" t="s">
        <v>180</v>
      </c>
      <c r="J183" s="29">
        <v>9</v>
      </c>
      <c r="K183" s="29">
        <v>1</v>
      </c>
      <c r="L183" s="29">
        <v>2</v>
      </c>
      <c r="M183" s="27" t="e">
        <f>CONCATENATE(#REF!,-L183)</f>
        <v>#REF!</v>
      </c>
    </row>
    <row r="184" spans="2:13">
      <c r="B184" s="22"/>
      <c r="C184" s="22"/>
      <c r="D184" s="22"/>
      <c r="F184" s="24"/>
      <c r="G184" s="23" t="s">
        <v>303</v>
      </c>
      <c r="I184" s="29" t="s">
        <v>180</v>
      </c>
      <c r="J184" s="29">
        <v>9</v>
      </c>
      <c r="K184" s="29">
        <v>1</v>
      </c>
      <c r="L184" s="29">
        <v>3</v>
      </c>
      <c r="M184" s="27" t="e">
        <f>CONCATENATE(#REF!,-L184)</f>
        <v>#REF!</v>
      </c>
    </row>
    <row r="185" spans="2:13">
      <c r="B185" s="22"/>
      <c r="C185" s="22"/>
      <c r="D185" s="22"/>
      <c r="F185" s="24"/>
      <c r="G185" s="23" t="s">
        <v>304</v>
      </c>
      <c r="I185" s="29" t="s">
        <v>180</v>
      </c>
      <c r="J185" s="29">
        <v>9</v>
      </c>
      <c r="K185" s="29">
        <v>1</v>
      </c>
      <c r="L185" s="29">
        <v>4</v>
      </c>
      <c r="M185" s="27" t="e">
        <f>CONCATENATE(#REF!,-L185)</f>
        <v>#REF!</v>
      </c>
    </row>
    <row r="186" spans="2:13">
      <c r="B186" s="22"/>
      <c r="C186" s="22"/>
      <c r="D186" s="22"/>
      <c r="F186" s="24"/>
      <c r="G186" s="23" t="s">
        <v>305</v>
      </c>
      <c r="I186" s="29" t="s">
        <v>180</v>
      </c>
      <c r="J186" s="29">
        <v>9</v>
      </c>
      <c r="K186" s="29">
        <v>1</v>
      </c>
      <c r="L186" s="29">
        <v>5</v>
      </c>
      <c r="M186" s="27" t="e">
        <f>CONCATENATE(#REF!,-L186)</f>
        <v>#REF!</v>
      </c>
    </row>
    <row r="187" spans="2:13">
      <c r="B187" s="22"/>
      <c r="C187" s="22"/>
      <c r="D187" s="22"/>
      <c r="F187" s="24"/>
      <c r="G187" s="23" t="s">
        <v>306</v>
      </c>
      <c r="I187" s="29" t="s">
        <v>180</v>
      </c>
      <c r="J187" s="29">
        <v>9</v>
      </c>
      <c r="K187" s="29">
        <v>1</v>
      </c>
      <c r="L187" s="29">
        <v>6</v>
      </c>
      <c r="M187" s="27" t="e">
        <f>CONCATENATE(#REF!,-L187)</f>
        <v>#REF!</v>
      </c>
    </row>
    <row r="188" spans="2:13">
      <c r="B188" s="22"/>
      <c r="C188" s="22"/>
      <c r="D188" s="22"/>
      <c r="F188" s="24"/>
      <c r="G188" s="23" t="s">
        <v>307</v>
      </c>
      <c r="I188" s="29" t="s">
        <v>180</v>
      </c>
      <c r="J188" s="29">
        <v>9</v>
      </c>
      <c r="K188" s="29">
        <v>1</v>
      </c>
      <c r="L188" s="29">
        <v>7</v>
      </c>
      <c r="M188" s="27" t="e">
        <f>CONCATENATE(#REF!,-L188)</f>
        <v>#REF!</v>
      </c>
    </row>
    <row r="189" spans="2:13">
      <c r="B189" s="22"/>
      <c r="C189" s="22"/>
      <c r="D189" s="22"/>
      <c r="F189" s="24"/>
      <c r="G189" s="23" t="s">
        <v>308</v>
      </c>
      <c r="I189" s="29" t="s">
        <v>180</v>
      </c>
      <c r="J189" s="29">
        <v>9</v>
      </c>
      <c r="K189" s="29">
        <v>1</v>
      </c>
      <c r="L189" s="29">
        <v>8</v>
      </c>
      <c r="M189" s="27" t="e">
        <f>CONCATENATE(#REF!,-L189)</f>
        <v>#REF!</v>
      </c>
    </row>
    <row r="190" spans="2:13">
      <c r="B190" s="22"/>
      <c r="C190" s="22"/>
      <c r="D190" s="22"/>
      <c r="F190" s="24"/>
      <c r="G190" s="23" t="s">
        <v>310</v>
      </c>
      <c r="I190" s="29" t="s">
        <v>180</v>
      </c>
      <c r="J190" s="29">
        <v>9</v>
      </c>
      <c r="K190" s="29">
        <v>2</v>
      </c>
      <c r="L190" s="29">
        <v>1</v>
      </c>
      <c r="M190" s="27" t="e">
        <f>CONCATENATE(#REF!,-L190)</f>
        <v>#REF!</v>
      </c>
    </row>
    <row r="191" spans="2:13">
      <c r="B191" s="22"/>
      <c r="C191" s="22"/>
      <c r="D191" s="22"/>
      <c r="F191" s="24"/>
      <c r="G191" s="23" t="s">
        <v>311</v>
      </c>
      <c r="I191" s="29" t="s">
        <v>180</v>
      </c>
      <c r="J191" s="29">
        <v>9</v>
      </c>
      <c r="K191" s="29">
        <v>2</v>
      </c>
      <c r="L191" s="29">
        <v>2</v>
      </c>
      <c r="M191" s="27" t="e">
        <f>CONCATENATE(#REF!,-L191)</f>
        <v>#REF!</v>
      </c>
    </row>
    <row r="192" spans="2:13">
      <c r="B192" s="22"/>
      <c r="C192" s="22"/>
      <c r="D192" s="22"/>
      <c r="F192" s="24"/>
      <c r="G192" s="23" t="s">
        <v>312</v>
      </c>
      <c r="I192" s="29" t="s">
        <v>180</v>
      </c>
      <c r="J192" s="29">
        <v>9</v>
      </c>
      <c r="K192" s="29">
        <v>2</v>
      </c>
      <c r="L192" s="29">
        <v>3</v>
      </c>
      <c r="M192" s="27" t="e">
        <f>CONCATENATE(#REF!,-L192)</f>
        <v>#REF!</v>
      </c>
    </row>
    <row r="193" spans="2:13">
      <c r="B193" s="22"/>
      <c r="C193" s="22"/>
      <c r="D193" s="22"/>
      <c r="F193" s="24"/>
      <c r="G193" s="23" t="s">
        <v>313</v>
      </c>
      <c r="I193" s="29" t="s">
        <v>180</v>
      </c>
      <c r="J193" s="29">
        <v>9</v>
      </c>
      <c r="K193" s="29">
        <v>2</v>
      </c>
      <c r="L193" s="29">
        <v>4</v>
      </c>
      <c r="M193" s="27" t="e">
        <f>CONCATENATE(#REF!,-L193)</f>
        <v>#REF!</v>
      </c>
    </row>
    <row r="194" spans="2:13">
      <c r="B194" s="22"/>
      <c r="C194" s="22"/>
      <c r="D194" s="22"/>
      <c r="F194" s="24"/>
      <c r="G194" s="23" t="s">
        <v>314</v>
      </c>
      <c r="I194" s="29" t="s">
        <v>180</v>
      </c>
      <c r="J194" s="29">
        <v>9</v>
      </c>
      <c r="K194" s="29">
        <v>2</v>
      </c>
      <c r="L194" s="29">
        <v>5</v>
      </c>
      <c r="M194" s="27" t="e">
        <f>CONCATENATE(#REF!,-L194)</f>
        <v>#REF!</v>
      </c>
    </row>
    <row r="195" spans="2:13">
      <c r="B195" s="22"/>
      <c r="C195" s="22"/>
      <c r="D195" s="22"/>
      <c r="F195" s="24"/>
      <c r="G195" s="23" t="s">
        <v>315</v>
      </c>
      <c r="I195" s="29" t="s">
        <v>180</v>
      </c>
      <c r="J195" s="29">
        <v>9</v>
      </c>
      <c r="K195" s="29">
        <v>2</v>
      </c>
      <c r="L195" s="29">
        <v>6</v>
      </c>
      <c r="M195" s="27" t="e">
        <f>CONCATENATE(#REF!,-L195)</f>
        <v>#REF!</v>
      </c>
    </row>
    <row r="196" spans="2:13">
      <c r="B196" s="22"/>
      <c r="C196" s="22"/>
      <c r="D196" s="22"/>
      <c r="F196" s="24"/>
      <c r="G196" s="23" t="s">
        <v>316</v>
      </c>
      <c r="I196" s="29" t="s">
        <v>180</v>
      </c>
      <c r="J196" s="29">
        <v>9</v>
      </c>
      <c r="K196" s="29">
        <v>2</v>
      </c>
      <c r="L196" s="29">
        <v>7</v>
      </c>
      <c r="M196" s="27" t="e">
        <f>CONCATENATE(#REF!,-L196)</f>
        <v>#REF!</v>
      </c>
    </row>
    <row r="197" spans="2:13">
      <c r="B197" s="22"/>
      <c r="C197" s="22"/>
      <c r="D197" s="22"/>
      <c r="F197" s="24"/>
      <c r="G197" s="23" t="s">
        <v>317</v>
      </c>
      <c r="I197" s="29" t="s">
        <v>180</v>
      </c>
      <c r="J197" s="29">
        <v>9</v>
      </c>
      <c r="K197" s="29">
        <v>2</v>
      </c>
      <c r="L197" s="29">
        <v>8</v>
      </c>
      <c r="M197" s="27" t="e">
        <f>CONCATENATE(#REF!,-L197)</f>
        <v>#REF!</v>
      </c>
    </row>
    <row r="198" spans="2:13">
      <c r="B198" s="22"/>
      <c r="C198" s="22"/>
      <c r="D198" s="22"/>
      <c r="F198" s="24"/>
      <c r="G198" s="23" t="s">
        <v>319</v>
      </c>
      <c r="I198" s="29" t="s">
        <v>180</v>
      </c>
      <c r="J198" s="29">
        <v>10</v>
      </c>
      <c r="K198" s="29">
        <v>1</v>
      </c>
      <c r="L198" s="29">
        <v>1</v>
      </c>
      <c r="M198" s="27" t="e">
        <f>CONCATENATE(#REF!,-L198)</f>
        <v>#REF!</v>
      </c>
    </row>
    <row r="199" spans="2:13">
      <c r="B199" s="22"/>
      <c r="C199" s="22"/>
      <c r="D199" s="22"/>
      <c r="F199" s="24"/>
      <c r="G199" s="23" t="s">
        <v>320</v>
      </c>
      <c r="I199" s="29" t="s">
        <v>180</v>
      </c>
      <c r="J199" s="29">
        <v>10</v>
      </c>
      <c r="K199" s="29">
        <v>1</v>
      </c>
      <c r="L199" s="29">
        <v>2</v>
      </c>
      <c r="M199" s="27" t="e">
        <f>CONCATENATE(#REF!,-L199)</f>
        <v>#REF!</v>
      </c>
    </row>
    <row r="200" spans="2:13">
      <c r="B200" s="22"/>
      <c r="C200" s="22"/>
      <c r="D200" s="22"/>
      <c r="F200" s="24"/>
      <c r="G200" s="23" t="s">
        <v>322</v>
      </c>
      <c r="I200" s="29" t="s">
        <v>180</v>
      </c>
      <c r="J200" s="29">
        <v>10</v>
      </c>
      <c r="K200" s="29">
        <v>2</v>
      </c>
      <c r="L200" s="29">
        <v>1</v>
      </c>
      <c r="M200" s="27" t="e">
        <f>CONCATENATE(#REF!,-L200)</f>
        <v>#REF!</v>
      </c>
    </row>
    <row r="201" spans="2:13">
      <c r="B201" s="22"/>
      <c r="C201" s="22"/>
      <c r="D201" s="22"/>
      <c r="F201" s="24"/>
      <c r="G201" s="23" t="s">
        <v>324</v>
      </c>
      <c r="I201" s="29" t="s">
        <v>180</v>
      </c>
      <c r="J201" s="29">
        <v>10</v>
      </c>
      <c r="K201" s="29">
        <v>3</v>
      </c>
      <c r="L201" s="29">
        <v>1</v>
      </c>
      <c r="M201" s="27" t="e">
        <f>CONCATENATE(#REF!,-L201)</f>
        <v>#REF!</v>
      </c>
    </row>
    <row r="202" spans="2:13">
      <c r="B202" s="22"/>
      <c r="C202" s="22"/>
      <c r="D202" s="22"/>
    </row>
  </sheetData>
  <mergeCells count="8">
    <mergeCell ref="Y22:AC22"/>
    <mergeCell ref="V25:V29"/>
    <mergeCell ref="AW2:AX2"/>
    <mergeCell ref="Y10:AC10"/>
    <mergeCell ref="V13:V17"/>
    <mergeCell ref="B1:G1"/>
    <mergeCell ref="N1:P1"/>
    <mergeCell ref="R1:T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M18"/>
  <sheetViews>
    <sheetView workbookViewId="0">
      <selection activeCell="Z55" sqref="Z55:Z59"/>
    </sheetView>
  </sheetViews>
  <sheetFormatPr baseColWidth="10" defaultRowHeight="14.4"/>
  <cols>
    <col min="2" max="6" width="12.88671875" customWidth="1"/>
    <col min="7" max="7" width="18.33203125" customWidth="1"/>
    <col min="8" max="8" width="12.5546875" bestFit="1" customWidth="1"/>
    <col min="13" max="13" width="12.5546875" bestFit="1" customWidth="1"/>
  </cols>
  <sheetData>
    <row r="1" spans="1:13">
      <c r="A1" s="298" t="s">
        <v>398</v>
      </c>
      <c r="B1" s="298"/>
      <c r="C1" s="298"/>
      <c r="D1" s="298"/>
      <c r="E1" s="298"/>
      <c r="F1" s="298"/>
      <c r="G1" s="298"/>
      <c r="H1" s="298"/>
    </row>
    <row r="3" spans="1:13">
      <c r="B3" s="65" t="s">
        <v>13</v>
      </c>
      <c r="C3" s="65" t="s">
        <v>15</v>
      </c>
      <c r="D3" s="65" t="s">
        <v>356</v>
      </c>
      <c r="E3" s="65" t="s">
        <v>355</v>
      </c>
      <c r="F3" s="65" t="s">
        <v>354</v>
      </c>
    </row>
    <row r="4" spans="1:13">
      <c r="A4" s="65" t="s">
        <v>360</v>
      </c>
      <c r="B4" s="67" t="e">
        <f>+COUNTIF('SARO-02'!#REF!,'Cálculo Informe'!$A4&amp;"-"&amp;'Cálculo Informe'!B3)</f>
        <v>#REF!</v>
      </c>
      <c r="C4" s="67" t="e">
        <f>+COUNTIF('SARO-02'!#REF!,'Cálculo Informe'!$A4&amp;"-"&amp;'Cálculo Informe'!C3)</f>
        <v>#REF!</v>
      </c>
      <c r="D4" s="67" t="e">
        <f>+COUNTIF('SARO-02'!#REF!,'Cálculo Informe'!$A4&amp;"-"&amp;'Cálculo Informe'!D3)</f>
        <v>#REF!</v>
      </c>
      <c r="E4" s="67" t="e">
        <f>+COUNTIF('SARO-02'!#REF!,'Cálculo Informe'!$A4&amp;"-"&amp;'Cálculo Informe'!E3)</f>
        <v>#REF!</v>
      </c>
      <c r="F4" s="67" t="e">
        <f>+COUNTIF('SARO-02'!#REF!,'Cálculo Informe'!$A4&amp;"-"&amp;'Cálculo Informe'!F3)</f>
        <v>#REF!</v>
      </c>
      <c r="G4" t="e">
        <f>SUM(B4:F4)</f>
        <v>#REF!</v>
      </c>
    </row>
    <row r="5" spans="1:13">
      <c r="A5" s="65" t="s">
        <v>359</v>
      </c>
      <c r="B5" s="67" t="e">
        <f>+COUNTIF('SARO-02'!#REF!,'Cálculo Informe'!$A5&amp;"-"&amp;'Cálculo Informe'!B3)</f>
        <v>#REF!</v>
      </c>
      <c r="C5" s="67" t="e">
        <f>+COUNTIF('SARO-02'!#REF!,'Cálculo Informe'!$A5&amp;"-"&amp;'Cálculo Informe'!C3)</f>
        <v>#REF!</v>
      </c>
      <c r="D5" s="67" t="e">
        <f>+COUNTIF('SARO-02'!#REF!,'Cálculo Informe'!$A5&amp;"-"&amp;'Cálculo Informe'!D3)</f>
        <v>#REF!</v>
      </c>
      <c r="E5" s="67" t="e">
        <f>+COUNTIF('SARO-02'!#REF!,'Cálculo Informe'!$A5&amp;"-"&amp;'Cálculo Informe'!E3)</f>
        <v>#REF!</v>
      </c>
      <c r="F5" s="67" t="e">
        <f>+COUNTIF('SARO-02'!#REF!,'Cálculo Informe'!$A5&amp;"-"&amp;'Cálculo Informe'!F3)</f>
        <v>#REF!</v>
      </c>
      <c r="G5" t="e">
        <f t="shared" ref="G5:G8" si="0">SUM(B5:F5)</f>
        <v>#REF!</v>
      </c>
    </row>
    <row r="6" spans="1:13">
      <c r="A6" s="65" t="s">
        <v>358</v>
      </c>
      <c r="B6" s="67" t="e">
        <f>+COUNTIF('SARO-02'!#REF!,'Cálculo Informe'!$A6&amp;"-"&amp;'Cálculo Informe'!B3)</f>
        <v>#REF!</v>
      </c>
      <c r="C6" s="67" t="e">
        <f>+COUNTIF('SARO-02'!#REF!,'Cálculo Informe'!$A6&amp;"-"&amp;'Cálculo Informe'!C3)</f>
        <v>#REF!</v>
      </c>
      <c r="D6" s="67" t="e">
        <f>+COUNTIF('SARO-02'!#REF!,'Cálculo Informe'!$A6&amp;"-"&amp;'Cálculo Informe'!D3)</f>
        <v>#REF!</v>
      </c>
      <c r="E6" s="67" t="e">
        <f>+COUNTIF('SARO-02'!#REF!,'Cálculo Informe'!$A6&amp;"-"&amp;'Cálculo Informe'!E3)</f>
        <v>#REF!</v>
      </c>
      <c r="F6" s="67" t="e">
        <f>+COUNTIF('SARO-02'!#REF!,'Cálculo Informe'!$A6&amp;"-"&amp;'Cálculo Informe'!F3)</f>
        <v>#REF!</v>
      </c>
      <c r="G6" t="e">
        <f t="shared" si="0"/>
        <v>#REF!</v>
      </c>
    </row>
    <row r="7" spans="1:13">
      <c r="A7" s="65" t="s">
        <v>20</v>
      </c>
      <c r="B7" s="67" t="e">
        <f>+COUNTIF('SARO-02'!#REF!,'Cálculo Informe'!$A7&amp;"-"&amp;'Cálculo Informe'!B3)</f>
        <v>#REF!</v>
      </c>
      <c r="C7" s="67" t="e">
        <f>+COUNTIF('SARO-02'!#REF!,'Cálculo Informe'!$A7&amp;"-"&amp;'Cálculo Informe'!C3)</f>
        <v>#REF!</v>
      </c>
      <c r="D7" s="67" t="e">
        <f>+COUNTIF('SARO-02'!#REF!,'Cálculo Informe'!$A7&amp;"-"&amp;'Cálculo Informe'!D3)</f>
        <v>#REF!</v>
      </c>
      <c r="E7" s="67" t="e">
        <f>+COUNTIF('SARO-02'!#REF!,'Cálculo Informe'!$A7&amp;"-"&amp;'Cálculo Informe'!E3)</f>
        <v>#REF!</v>
      </c>
      <c r="F7" s="67" t="e">
        <f>+COUNTIF('SARO-02'!#REF!,'Cálculo Informe'!$A7&amp;"-"&amp;'Cálculo Informe'!F3)</f>
        <v>#REF!</v>
      </c>
      <c r="G7" t="e">
        <f t="shared" si="0"/>
        <v>#REF!</v>
      </c>
      <c r="M7" s="66"/>
    </row>
    <row r="8" spans="1:13">
      <c r="A8" s="65" t="s">
        <v>12</v>
      </c>
      <c r="B8" s="67" t="e">
        <f>+COUNTIF('SARO-02'!#REF!,'Cálculo Informe'!$A8&amp;"-"&amp;'Cálculo Informe'!B3)</f>
        <v>#REF!</v>
      </c>
      <c r="C8" s="67" t="e">
        <f>+COUNTIF('SARO-02'!#REF!,'Cálculo Informe'!$A8&amp;"-"&amp;'Cálculo Informe'!C3)</f>
        <v>#REF!</v>
      </c>
      <c r="D8" s="67" t="e">
        <f>+COUNTIF('SARO-02'!#REF!,'Cálculo Informe'!$A8&amp;"-"&amp;'Cálculo Informe'!D3)</f>
        <v>#REF!</v>
      </c>
      <c r="E8" s="67" t="e">
        <f>+COUNTIF('SARO-02'!#REF!,'Cálculo Informe'!$A8&amp;"-"&amp;'Cálculo Informe'!E3)</f>
        <v>#REF!</v>
      </c>
      <c r="F8" s="67" t="e">
        <f>+COUNTIF('SARO-02'!#REF!,'Cálculo Informe'!$A8&amp;"-"&amp;'Cálculo Informe'!F3)</f>
        <v>#REF!</v>
      </c>
      <c r="G8" t="e">
        <f t="shared" si="0"/>
        <v>#REF!</v>
      </c>
      <c r="M8" s="66"/>
    </row>
    <row r="9" spans="1:13">
      <c r="G9" s="68" t="e">
        <f>SUM(G4:G8)</f>
        <v>#REF!</v>
      </c>
      <c r="M9" s="66"/>
    </row>
    <row r="10" spans="1:13">
      <c r="M10" s="66"/>
    </row>
    <row r="11" spans="1:13">
      <c r="M11" s="66"/>
    </row>
    <row r="12" spans="1:13">
      <c r="A12" s="65"/>
      <c r="B12" s="65" t="s">
        <v>13</v>
      </c>
      <c r="C12" s="65" t="s">
        <v>15</v>
      </c>
      <c r="D12" s="65" t="s">
        <v>356</v>
      </c>
      <c r="E12" s="65" t="s">
        <v>355</v>
      </c>
      <c r="F12" s="65" t="s">
        <v>354</v>
      </c>
      <c r="M12" s="66"/>
    </row>
    <row r="13" spans="1:13">
      <c r="A13" s="65" t="s">
        <v>360</v>
      </c>
      <c r="B13" s="71" t="e">
        <f>+SUMIF('SARO-02'!#REF!,'Cálculo Informe'!$A$13&amp;"-"&amp;'Cálculo Informe'!B$3,'SARO-02'!$BC:$BC)</f>
        <v>#REF!</v>
      </c>
      <c r="C13" s="71" t="e">
        <f>+SUMIF('SARO-02'!#REF!,'Cálculo Informe'!$A$13&amp;"-"&amp;'Cálculo Informe'!C$3,'SARO-02'!$BC:$BC)</f>
        <v>#REF!</v>
      </c>
      <c r="D13" s="74" t="e">
        <f>+SUMIF('SARO-02'!#REF!,'Cálculo Informe'!$A$13&amp;"-"&amp;'Cálculo Informe'!D$3,'SARO-02'!$BC:$BC)</f>
        <v>#REF!</v>
      </c>
      <c r="E13" s="75" t="e">
        <f>+SUMIF('SARO-02'!#REF!,'Cálculo Informe'!$A$13&amp;"-"&amp;'Cálculo Informe'!E$3,'SARO-02'!$BC:$BC)</f>
        <v>#REF!</v>
      </c>
      <c r="F13" s="75" t="e">
        <f>+SUMIF('SARO-02'!#REF!,'Cálculo Informe'!$A$13&amp;"-"&amp;'Cálculo Informe'!F$3,'SARO-02'!$BC:$BC)</f>
        <v>#REF!</v>
      </c>
      <c r="G13" s="66" t="e">
        <f>SUM(B13:F13)</f>
        <v>#REF!</v>
      </c>
      <c r="M13" s="66"/>
    </row>
    <row r="14" spans="1:13">
      <c r="A14" s="65" t="s">
        <v>359</v>
      </c>
      <c r="B14" s="73" t="e">
        <f>+SUMIF('SARO-02'!#REF!,'Cálculo Informe'!$A$14&amp;"-"&amp;'Cálculo Informe'!B$3,'SARO-02'!$BC:$BC)</f>
        <v>#REF!</v>
      </c>
      <c r="C14" s="71" t="e">
        <f>+SUMIF('SARO-02'!#REF!,'Cálculo Informe'!$A$14&amp;"-"&amp;'Cálculo Informe'!C$3,'SARO-02'!$BC:$BC)</f>
        <v>#REF!</v>
      </c>
      <c r="D14" s="71" t="e">
        <f>+SUMIF('SARO-02'!#REF!,'Cálculo Informe'!$A$14&amp;"-"&amp;'Cálculo Informe'!D$3,'SARO-02'!$BC:$BC)</f>
        <v>#REF!</v>
      </c>
      <c r="E14" s="74" t="e">
        <f>+SUMIF('SARO-02'!#REF!,'Cálculo Informe'!$A$14&amp;"-"&amp;'Cálculo Informe'!E$3,'SARO-02'!$BC:$BC)</f>
        <v>#REF!</v>
      </c>
      <c r="F14" s="75" t="e">
        <f>+SUMIF('SARO-02'!#REF!,'Cálculo Informe'!$A$14&amp;"-"&amp;'Cálculo Informe'!F$3,'SARO-02'!$BC:$BC)</f>
        <v>#REF!</v>
      </c>
      <c r="G14" s="66" t="e">
        <f>SUM(B14:F14)</f>
        <v>#REF!</v>
      </c>
      <c r="M14" s="66"/>
    </row>
    <row r="15" spans="1:13">
      <c r="A15" s="65" t="s">
        <v>358</v>
      </c>
      <c r="B15" s="76" t="e">
        <f>+SUMIF('SARO-02'!#REF!,'Cálculo Informe'!$A$15&amp;"-"&amp;'Cálculo Informe'!B$3,'SARO-02'!$BC:$BC)</f>
        <v>#REF!</v>
      </c>
      <c r="C15" s="76" t="e">
        <f>+SUMIF('SARO-02'!#REF!,'Cálculo Informe'!$A$15&amp;"-"&amp;'Cálculo Informe'!C$3,'SARO-02'!$BC:$BC)</f>
        <v>#REF!</v>
      </c>
      <c r="D15" s="77" t="e">
        <f>+SUMIF('SARO-02'!#REF!,'Cálculo Informe'!$A$15&amp;"-"&amp;'Cálculo Informe'!D$3,'SARO-02'!$BC:$BC)</f>
        <v>#REF!</v>
      </c>
      <c r="E15" s="77" t="e">
        <f>+SUMIF('SARO-02'!#REF!,'Cálculo Informe'!$A$15&amp;"-"&amp;'Cálculo Informe'!E$3,'SARO-02'!$BC:$BC)</f>
        <v>#REF!</v>
      </c>
      <c r="F15" s="78" t="e">
        <f>+SUMIF('SARO-02'!#REF!,'Cálculo Informe'!$A$15&amp;"-"&amp;'Cálculo Informe'!F$3,'SARO-02'!$BC:$BC)</f>
        <v>#REF!</v>
      </c>
      <c r="G15" s="66" t="e">
        <f t="shared" ref="G15:G17" si="1">SUM(B15:F15)</f>
        <v>#REF!</v>
      </c>
      <c r="M15" s="66"/>
    </row>
    <row r="16" spans="1:13">
      <c r="A16" s="65" t="s">
        <v>20</v>
      </c>
      <c r="B16" s="72" t="e">
        <f>+SUMIF('SARO-02'!#REF!,'Cálculo Informe'!$A$16&amp;"-"&amp;'Cálculo Informe'!B$3,'SARO-02'!$BC:$BC)</f>
        <v>#REF!</v>
      </c>
      <c r="C16" s="73" t="e">
        <f>+SUMIF('SARO-02'!#REF!,'Cálculo Informe'!$A$16&amp;"-"&amp;'Cálculo Informe'!C$3,'SARO-02'!$BC:$BC)</f>
        <v>#REF!</v>
      </c>
      <c r="D16" s="73" t="e">
        <f>+SUMIF('SARO-02'!#REF!,'Cálculo Informe'!$A$16&amp;"-"&amp;'Cálculo Informe'!D$3,'SARO-02'!$BC:$BC)</f>
        <v>#REF!</v>
      </c>
      <c r="E16" s="71" t="e">
        <f>+SUMIF('SARO-02'!#REF!,'Cálculo Informe'!$A$16&amp;"-"&amp;'Cálculo Informe'!E$3,'SARO-02'!$BC:$BC)</f>
        <v>#REF!</v>
      </c>
      <c r="F16" s="71" t="e">
        <f>+SUMIF('SARO-02'!#REF!,'Cálculo Informe'!$A$16&amp;"-"&amp;'Cálculo Informe'!F$3,'SARO-02'!$BC:$BC)</f>
        <v>#REF!</v>
      </c>
      <c r="G16" s="66" t="e">
        <f t="shared" si="1"/>
        <v>#REF!</v>
      </c>
      <c r="M16" s="66"/>
    </row>
    <row r="17" spans="1:13">
      <c r="A17" s="65" t="s">
        <v>12</v>
      </c>
      <c r="B17" s="72" t="e">
        <f>+SUMIF('SARO-02'!#REF!,'Cálculo Informe'!$A$17&amp;"-"&amp;'Cálculo Informe'!B$3,'SARO-02'!$BC:$BC)</f>
        <v>#REF!</v>
      </c>
      <c r="C17" s="72" t="e">
        <f>+SUMIF('SARO-02'!#REF!,'Cálculo Informe'!$A$17&amp;"-"&amp;'Cálculo Informe'!C$3,'SARO-02'!$BC:$BC)</f>
        <v>#REF!</v>
      </c>
      <c r="D17" s="73" t="e">
        <f>+SUMIF('SARO-02'!#REF!,'Cálculo Informe'!$A$17&amp;"-"&amp;'Cálculo Informe'!D$3,'SARO-02'!$BC:$BC)</f>
        <v>#REF!</v>
      </c>
      <c r="E17" s="73" t="e">
        <f>+SUMIF('SARO-02'!#REF!,'Cálculo Informe'!$A$17&amp;"-"&amp;'Cálculo Informe'!E$3,'SARO-02'!$BC:$BC)</f>
        <v>#REF!</v>
      </c>
      <c r="F17" s="71" t="e">
        <f>+SUMIF('SARO-02'!#REF!,'Cálculo Informe'!$A$17&amp;"-"&amp;'Cálculo Informe'!F$3,'SARO-02'!$BC:$BC)</f>
        <v>#REF!</v>
      </c>
      <c r="G17" s="66" t="e">
        <f t="shared" si="1"/>
        <v>#REF!</v>
      </c>
      <c r="M17" s="79"/>
    </row>
    <row r="18" spans="1:13">
      <c r="G18" s="69" t="e">
        <f>SUM(G13:G17)</f>
        <v>#REF!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89</vt:i4>
      </vt:variant>
    </vt:vector>
  </HeadingPairs>
  <TitlesOfParts>
    <vt:vector size="96" baseType="lpstr">
      <vt:lpstr>SARO-01</vt:lpstr>
      <vt:lpstr>SARO-02</vt:lpstr>
      <vt:lpstr>Sustentos</vt:lpstr>
      <vt:lpstr>Riesgo Materializado</vt:lpstr>
      <vt:lpstr>Parámetros</vt:lpstr>
      <vt:lpstr>Cálculo Informe</vt:lpstr>
      <vt:lpstr>Líneas de Negocio</vt:lpstr>
      <vt:lpstr>Administración_de_Tasas_y_Tarifas</vt:lpstr>
      <vt:lpstr>Administración_patrimonial</vt:lpstr>
      <vt:lpstr>Administración_y_Canje_de_Cheques</vt:lpstr>
      <vt:lpstr>Adquisiciones</vt:lpstr>
      <vt:lpstr>'SARO-01'!Área_de_impresión</vt:lpstr>
      <vt:lpstr>Banca_corresponsal</vt:lpstr>
      <vt:lpstr>Captación_de_Productos</vt:lpstr>
      <vt:lpstr>Clasificación_de_Cartera_y_Gestión_de_Provisiones</vt:lpstr>
      <vt:lpstr>Clientes</vt:lpstr>
      <vt:lpstr>Clientes_productos_y_prácticas_empresariales</vt:lpstr>
      <vt:lpstr>Colocaciones</vt:lpstr>
      <vt:lpstr>Compensaciones_del_Colaborador</vt:lpstr>
      <vt:lpstr>Compra_de_Cartera</vt:lpstr>
      <vt:lpstr>Control_Interno</vt:lpstr>
      <vt:lpstr>Control_Presupuestal</vt:lpstr>
      <vt:lpstr>Daños_a_activos_materiales</vt:lpstr>
      <vt:lpstr>Desarrollo_de_Software</vt:lpstr>
      <vt:lpstr>Desarrollo_y_Administración_del_Presupuesto</vt:lpstr>
      <vt:lpstr>Ejecución_entrega_y_gestión_de_procesos</vt:lpstr>
      <vt:lpstr>Eventos_externos</vt:lpstr>
      <vt:lpstr>Fondeo</vt:lpstr>
      <vt:lpstr>Fondeo_de_Recursos</vt:lpstr>
      <vt:lpstr>Fraude_externo</vt:lpstr>
      <vt:lpstr>Fraude_interno</vt:lpstr>
      <vt:lpstr>Gestión_Contable</vt:lpstr>
      <vt:lpstr>Gestión_de_Administración</vt:lpstr>
      <vt:lpstr>Gestión_de_Auditoría_Interna</vt:lpstr>
      <vt:lpstr>Gestión_de_Calidad_y_Servicio_al_Cliente</vt:lpstr>
      <vt:lpstr>Gestion_de_Cobranzas_Empresas</vt:lpstr>
      <vt:lpstr>Gestión_de_Cobranzas_Personas</vt:lpstr>
      <vt:lpstr>Gestión_de_Cobranzas_y_Recuperaciones</vt:lpstr>
      <vt:lpstr>Gestión_de_Contratos</vt:lpstr>
      <vt:lpstr>Gestión_de_Cumplimiento_Normativo</vt:lpstr>
      <vt:lpstr>Gestión_de_Depósitos</vt:lpstr>
      <vt:lpstr>Gestión_de_digitalización_de_files</vt:lpstr>
      <vt:lpstr>Gestión_de_Dinero_y_Valorados</vt:lpstr>
      <vt:lpstr>Gestión_de_Embargos</vt:lpstr>
      <vt:lpstr>Gestión_de_Garantías</vt:lpstr>
      <vt:lpstr>Gestión_de_Gastos_e_Ingresos</vt:lpstr>
      <vt:lpstr>Gestión_de_Infraestructura</vt:lpstr>
      <vt:lpstr>Gestión_de_la_Continuidad_del_Negocio</vt:lpstr>
      <vt:lpstr>Gestión_de_Marketing</vt:lpstr>
      <vt:lpstr>Gestión_de_Operaciones</vt:lpstr>
      <vt:lpstr>Gestión_de_Operaciones_de_TI</vt:lpstr>
      <vt:lpstr>Gestión_de_Planeamiento_Estratégico</vt:lpstr>
      <vt:lpstr>Gestión_de_Poderes</vt:lpstr>
      <vt:lpstr>Gestión_de_Prevención_de_Lavado_de_Activos</vt:lpstr>
      <vt:lpstr>Gestión_de_Procesos</vt:lpstr>
      <vt:lpstr>Gestión_de_Procesos_Legales</vt:lpstr>
      <vt:lpstr>Gestión_de_Riesgo_Crediticio_y_Cambiario</vt:lpstr>
      <vt:lpstr>Gestión_de_Riesgo_Operacional</vt:lpstr>
      <vt:lpstr>Gestión_de_Riesgos</vt:lpstr>
      <vt:lpstr>Gestión_de_RRHH</vt:lpstr>
      <vt:lpstr>Gestión_de_Seguridad_de_la_Información</vt:lpstr>
      <vt:lpstr>Gestión_de_Seguros</vt:lpstr>
      <vt:lpstr>Gestión_de_Servicios_asociados_a_la_Banca_x_internet</vt:lpstr>
      <vt:lpstr>Gestión_de_Servicios_internos</vt:lpstr>
      <vt:lpstr>Gestión_de_Tecnología_de_Información</vt:lpstr>
      <vt:lpstr>Gestión_de_Transferencias</vt:lpstr>
      <vt:lpstr>Gestión_del_Colaborador</vt:lpstr>
      <vt:lpstr>Gestión_del_Riesgo_Ambiental</vt:lpstr>
      <vt:lpstr>Gestión_del_Riesgo_de_Liquidez</vt:lpstr>
      <vt:lpstr>Gestión_del_Riesgo_de_Mercado</vt:lpstr>
      <vt:lpstr>Gestión_Financiera_y_Contable</vt:lpstr>
      <vt:lpstr>Gestión_Legal</vt:lpstr>
      <vt:lpstr>Gestión_Normativa</vt:lpstr>
      <vt:lpstr>Gestión_Operativa_de_Agencias</vt:lpstr>
      <vt:lpstr>Gestión_Operativa_de_ATMs</vt:lpstr>
      <vt:lpstr>Gestión_Operativa_de_Créditos</vt:lpstr>
      <vt:lpstr>Gestión_Secretaría_General</vt:lpstr>
      <vt:lpstr>Gestión_Tributaria</vt:lpstr>
      <vt:lpstr>Interrupción_del_negocio_y_fallos_en_los_sistemas</vt:lpstr>
      <vt:lpstr>Inversiones_Financieras</vt:lpstr>
      <vt:lpstr>Inversiones_y_Mesa_de_Dinero</vt:lpstr>
      <vt:lpstr>Mesa_de_Dinero</vt:lpstr>
      <vt:lpstr>Otorgamiento_de_Créditos</vt:lpstr>
      <vt:lpstr>Personal</vt:lpstr>
      <vt:lpstr>Planeamiento_y_Desarrollo</vt:lpstr>
      <vt:lpstr>Proceso_de_atención_de_proyectos_y_requerimientos</vt:lpstr>
      <vt:lpstr>Procesos_Internos</vt:lpstr>
      <vt:lpstr>Recaudación</vt:lpstr>
      <vt:lpstr>Reclutamiento_y_selección_de_personal</vt:lpstr>
      <vt:lpstr>Relaciones_laborales_y_seguridad_en_el_puesto_de_trabajo</vt:lpstr>
      <vt:lpstr>Servicios_Bancarios</vt:lpstr>
      <vt:lpstr>Tecnologia_de_Informacion</vt:lpstr>
      <vt:lpstr>'SARO-01'!Títulos_a_imprimir</vt:lpstr>
      <vt:lpstr>Transaccionalidad</vt:lpstr>
      <vt:lpstr>Transaccionalidad_PostDesembolso</vt:lpstr>
      <vt:lpstr>Vinculación</vt:lpstr>
    </vt:vector>
  </TitlesOfParts>
  <Company>BANCO GNB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Elkee Altamirano Constantino</dc:creator>
  <cp:lastModifiedBy>carlos herrera palma</cp:lastModifiedBy>
  <dcterms:created xsi:type="dcterms:W3CDTF">2017-05-09T13:33:32Z</dcterms:created>
  <dcterms:modified xsi:type="dcterms:W3CDTF">2026-04-17T17:10:40Z</dcterms:modified>
</cp:coreProperties>
</file>